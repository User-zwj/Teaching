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3" codeName="{83B8AF0C-AF01-CA8F-8D1D-96F9A44741E3}"/>
  <workbookPr codeName="ThisWorkbook" defaultThemeVersion="166925"/>
  <mc:AlternateContent xmlns:mc="http://schemas.openxmlformats.org/markup-compatibility/2006">
    <mc:Choice Requires="x15">
      <x15ac:absPath xmlns:x15ac="http://schemas.microsoft.com/office/spreadsheetml/2010/11/ac" url="/Users/zwj/Desktop/Teaching/"/>
    </mc:Choice>
  </mc:AlternateContent>
  <xr:revisionPtr revIDLastSave="0" documentId="13_ncr:1_{02D5D792-9D5D-2F47-A252-A48DD879B6A2}" xr6:coauthVersionLast="45" xr6:coauthVersionMax="45" xr10:uidLastSave="{00000000-0000-0000-0000-000000000000}"/>
  <bookViews>
    <workbookView xWindow="0" yWindow="460" windowWidth="28800" windowHeight="16440" xr2:uid="{6041C78E-568F-AB41-8D81-C35A9CA43C43}"/>
  </bookViews>
  <sheets>
    <sheet name="Home" sheetId="19" r:id="rId1"/>
    <sheet name="Roster" sheetId="60" r:id="rId2"/>
    <sheet name="Final" sheetId="55" r:id="rId3"/>
    <sheet name="Exam 1" sheetId="53" r:id="rId4"/>
    <sheet name="Exam 2" sheetId="59" r:id="rId5"/>
    <sheet name="MML" sheetId="42" r:id="rId6"/>
    <sheet name="All" sheetId="24" r:id="rId7"/>
    <sheet name="Feedback" sheetId="58" r:id="rId8"/>
  </sheets>
  <definedNames>
    <definedName name="_xlnm.Print_Area" localSheetId="0">Home!$A$1:$S$34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3" i="60" l="1"/>
  <c r="B4" i="60"/>
  <c r="B5" i="60"/>
  <c r="B6" i="60"/>
  <c r="B7" i="60"/>
  <c r="B8" i="60"/>
  <c r="B9" i="60"/>
  <c r="B10" i="60"/>
  <c r="B11" i="60"/>
  <c r="B12" i="60"/>
  <c r="B13" i="60"/>
  <c r="B14" i="60"/>
  <c r="B15" i="60"/>
  <c r="B16" i="60"/>
  <c r="B17" i="60"/>
  <c r="B18" i="60"/>
  <c r="B19" i="60"/>
  <c r="B20" i="60"/>
  <c r="B21" i="60"/>
  <c r="B22" i="60"/>
  <c r="B23" i="60"/>
  <c r="B24" i="60"/>
  <c r="B25" i="60"/>
  <c r="B26" i="60"/>
  <c r="B27" i="60"/>
  <c r="B28" i="60"/>
  <c r="B29" i="60"/>
  <c r="B30" i="60"/>
  <c r="B31" i="60"/>
  <c r="B32" i="60"/>
  <c r="B33" i="60"/>
  <c r="B34" i="60"/>
  <c r="B35" i="60"/>
  <c r="B36" i="60"/>
  <c r="B37" i="60"/>
  <c r="B2" i="60"/>
  <c r="A2" i="55"/>
  <c r="AL4" i="24"/>
  <c r="F1" i="24" l="1"/>
  <c r="G1" i="24"/>
  <c r="R1" i="24"/>
  <c r="AD1" i="24"/>
  <c r="A20" i="24"/>
  <c r="N40" i="42"/>
  <c r="M40" i="42"/>
  <c r="L40" i="42"/>
  <c r="K40" i="42"/>
  <c r="J40" i="42"/>
  <c r="I40" i="42"/>
  <c r="H40" i="42"/>
  <c r="G40" i="42"/>
  <c r="F40" i="42"/>
  <c r="E40" i="42"/>
  <c r="D40" i="42"/>
  <c r="C40" i="42"/>
  <c r="A40" i="42"/>
  <c r="N39" i="42"/>
  <c r="M39" i="42"/>
  <c r="L39" i="42"/>
  <c r="K39" i="42"/>
  <c r="J39" i="42"/>
  <c r="I39" i="42"/>
  <c r="H39" i="42"/>
  <c r="G39" i="42"/>
  <c r="F39" i="42"/>
  <c r="E39" i="42"/>
  <c r="D39" i="42"/>
  <c r="C39" i="42"/>
  <c r="A39" i="42"/>
  <c r="A3" i="53"/>
  <c r="A4" i="53"/>
  <c r="A5" i="53"/>
  <c r="A6" i="53"/>
  <c r="A7" i="53"/>
  <c r="A8" i="53"/>
  <c r="A9" i="53"/>
  <c r="A10" i="53"/>
  <c r="A11" i="53"/>
  <c r="A12" i="53"/>
  <c r="A13" i="53"/>
  <c r="A14" i="53"/>
  <c r="A15" i="53"/>
  <c r="A16" i="53"/>
  <c r="A17" i="53"/>
  <c r="A18" i="53"/>
  <c r="A19" i="53"/>
  <c r="A20" i="53"/>
  <c r="A21" i="53"/>
  <c r="A22" i="53"/>
  <c r="A23" i="53"/>
  <c r="A24" i="53"/>
  <c r="A25" i="53"/>
  <c r="A26" i="53"/>
  <c r="A27" i="53"/>
  <c r="A28" i="53"/>
  <c r="A29" i="53"/>
  <c r="A30" i="53"/>
  <c r="A31" i="53"/>
  <c r="A32" i="53"/>
  <c r="A33" i="53"/>
  <c r="A34" i="53"/>
  <c r="A35" i="53"/>
  <c r="A36" i="53"/>
  <c r="A37" i="53"/>
  <c r="A38" i="53"/>
  <c r="A39" i="53"/>
  <c r="A2" i="53"/>
  <c r="A39" i="55"/>
  <c r="A3" i="55"/>
  <c r="A4" i="55"/>
  <c r="A5" i="55"/>
  <c r="A6" i="55"/>
  <c r="A7" i="55"/>
  <c r="A8" i="55"/>
  <c r="A9" i="55"/>
  <c r="A10" i="55"/>
  <c r="A11" i="55"/>
  <c r="A12" i="55"/>
  <c r="A13" i="55"/>
  <c r="A14" i="55"/>
  <c r="A15" i="55"/>
  <c r="A16" i="55"/>
  <c r="A17" i="55"/>
  <c r="A18" i="55"/>
  <c r="A19" i="55"/>
  <c r="A20" i="55"/>
  <c r="A21" i="55"/>
  <c r="A22" i="55"/>
  <c r="A23" i="55"/>
  <c r="A24" i="55"/>
  <c r="A25" i="55"/>
  <c r="A26" i="55"/>
  <c r="A27" i="55"/>
  <c r="A28" i="55"/>
  <c r="A29" i="55"/>
  <c r="A30" i="55"/>
  <c r="A31" i="55"/>
  <c r="A32" i="55"/>
  <c r="A33" i="55"/>
  <c r="A34" i="55"/>
  <c r="A35" i="55"/>
  <c r="A36" i="55"/>
  <c r="A37" i="55"/>
  <c r="A38" i="55"/>
  <c r="A41" i="42"/>
  <c r="A42" i="42"/>
  <c r="A4" i="42"/>
  <c r="A5" i="42"/>
  <c r="A6" i="42"/>
  <c r="A7" i="42"/>
  <c r="A8" i="42"/>
  <c r="A9" i="42"/>
  <c r="A10" i="42"/>
  <c r="A11" i="42"/>
  <c r="A12" i="42"/>
  <c r="A13" i="42"/>
  <c r="A14" i="42"/>
  <c r="A15" i="42"/>
  <c r="A16" i="42"/>
  <c r="A17" i="42"/>
  <c r="A18" i="42"/>
  <c r="A19" i="42"/>
  <c r="A20" i="42"/>
  <c r="A21" i="42"/>
  <c r="A22" i="42"/>
  <c r="A23" i="42"/>
  <c r="A24" i="42"/>
  <c r="A25" i="42"/>
  <c r="A26" i="42"/>
  <c r="A27" i="42"/>
  <c r="A28" i="42"/>
  <c r="A29" i="42"/>
  <c r="A30" i="42"/>
  <c r="A31" i="42"/>
  <c r="A32" i="42"/>
  <c r="A35" i="42"/>
  <c r="A36" i="42"/>
  <c r="A37" i="42"/>
  <c r="A38" i="42"/>
  <c r="A29" i="24"/>
  <c r="A30" i="24"/>
  <c r="A31" i="24"/>
  <c r="A32" i="24"/>
  <c r="A33" i="24"/>
  <c r="A34" i="24"/>
  <c r="A35" i="24"/>
  <c r="A36" i="24"/>
  <c r="A37" i="24"/>
  <c r="A38" i="24"/>
  <c r="A39" i="24"/>
  <c r="A4" i="24" l="1"/>
  <c r="A5" i="24"/>
  <c r="A6" i="24"/>
  <c r="A7" i="24"/>
  <c r="A8" i="24"/>
  <c r="A9" i="24"/>
  <c r="A10" i="24"/>
  <c r="A11" i="24"/>
  <c r="A12" i="24"/>
  <c r="A13" i="24"/>
  <c r="A14" i="24"/>
  <c r="A15" i="24"/>
  <c r="A16" i="24"/>
  <c r="A17" i="24"/>
  <c r="A18" i="24"/>
  <c r="A19" i="24"/>
  <c r="A21" i="24"/>
  <c r="A22" i="24"/>
  <c r="A23" i="24"/>
  <c r="A24" i="24"/>
  <c r="A26" i="24"/>
  <c r="A27" i="24"/>
  <c r="A28" i="24"/>
  <c r="A3" i="42" l="1"/>
  <c r="AC5" i="24" l="1"/>
  <c r="AC6" i="24"/>
  <c r="AC7" i="24"/>
  <c r="AC8" i="24"/>
  <c r="AC9" i="24"/>
  <c r="AC10" i="24"/>
  <c r="AC11" i="24"/>
  <c r="AC12" i="24"/>
  <c r="AC13" i="24"/>
  <c r="AC14" i="24"/>
  <c r="AC15" i="24"/>
  <c r="AC16" i="24"/>
  <c r="AC17" i="24"/>
  <c r="AC18" i="24"/>
  <c r="AC19" i="24"/>
  <c r="AC20" i="24"/>
  <c r="AC21" i="24"/>
  <c r="AC22" i="24"/>
  <c r="AC23" i="24"/>
  <c r="AC24" i="24"/>
  <c r="AC25" i="24"/>
  <c r="AC26" i="24"/>
  <c r="AC27" i="24"/>
  <c r="AC28" i="24"/>
  <c r="AC29" i="24"/>
  <c r="AC30" i="24"/>
  <c r="AC31" i="24"/>
  <c r="AC32" i="24"/>
  <c r="AC35" i="24"/>
  <c r="AC40" i="24"/>
  <c r="AC41" i="24"/>
  <c r="AB5" i="24"/>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5" i="24"/>
  <c r="AB40" i="24"/>
  <c r="AB41" i="24"/>
  <c r="AA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5" i="24"/>
  <c r="AA40" i="24"/>
  <c r="AA41" i="24"/>
  <c r="Z5" i="24"/>
  <c r="Z6" i="24"/>
  <c r="Z7" i="24"/>
  <c r="Z8" i="24"/>
  <c r="Z9" i="24"/>
  <c r="Z10" i="24"/>
  <c r="Z11" i="24"/>
  <c r="Z12" i="24"/>
  <c r="Z13" i="24"/>
  <c r="Z14" i="24"/>
  <c r="Z15" i="24"/>
  <c r="Z16" i="24"/>
  <c r="Z17" i="24"/>
  <c r="Z18" i="24"/>
  <c r="Z19" i="24"/>
  <c r="Z20" i="24"/>
  <c r="Z21" i="24"/>
  <c r="Z22" i="24"/>
  <c r="Z23" i="24"/>
  <c r="Z24" i="24"/>
  <c r="Z25" i="24"/>
  <c r="Z26" i="24"/>
  <c r="Z27" i="24"/>
  <c r="Z28" i="24"/>
  <c r="Z29" i="24"/>
  <c r="Z30" i="24"/>
  <c r="Z31" i="24"/>
  <c r="Z32" i="24"/>
  <c r="Z35" i="24"/>
  <c r="Z40" i="24"/>
  <c r="Z41" i="24"/>
  <c r="Y5" i="24"/>
  <c r="Y6" i="24"/>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5" i="24"/>
  <c r="Y40" i="24"/>
  <c r="Y41" i="24"/>
  <c r="X5" i="24"/>
  <c r="X6" i="24"/>
  <c r="X7" i="24"/>
  <c r="X8" i="24"/>
  <c r="X9" i="24"/>
  <c r="X10" i="24"/>
  <c r="X11" i="24"/>
  <c r="X12" i="24"/>
  <c r="X13" i="24"/>
  <c r="X14" i="24"/>
  <c r="X15" i="24"/>
  <c r="X16" i="24"/>
  <c r="X17" i="24"/>
  <c r="X18" i="24"/>
  <c r="X19" i="24"/>
  <c r="X20" i="24"/>
  <c r="X21" i="24"/>
  <c r="X22" i="24"/>
  <c r="X23" i="24"/>
  <c r="X24" i="24"/>
  <c r="X25" i="24"/>
  <c r="X26" i="24"/>
  <c r="X27" i="24"/>
  <c r="X28" i="24"/>
  <c r="X29" i="24"/>
  <c r="X30" i="24"/>
  <c r="X31" i="24"/>
  <c r="X32" i="24"/>
  <c r="X35" i="24"/>
  <c r="X40" i="24"/>
  <c r="X41" i="24"/>
  <c r="W5" i="24"/>
  <c r="W6" i="24"/>
  <c r="W7" i="24"/>
  <c r="W8" i="24"/>
  <c r="W9" i="24"/>
  <c r="W10" i="24"/>
  <c r="W11" i="24"/>
  <c r="W12" i="24"/>
  <c r="W13" i="24"/>
  <c r="W14" i="24"/>
  <c r="W15" i="24"/>
  <c r="W16" i="24"/>
  <c r="W17" i="24"/>
  <c r="W18" i="24"/>
  <c r="W19" i="24"/>
  <c r="W20" i="24"/>
  <c r="W21" i="24"/>
  <c r="W22" i="24"/>
  <c r="W23" i="24"/>
  <c r="W24" i="24"/>
  <c r="W25" i="24"/>
  <c r="W26" i="24"/>
  <c r="W27" i="24"/>
  <c r="W28" i="24"/>
  <c r="W29" i="24"/>
  <c r="W30" i="24"/>
  <c r="W31" i="24"/>
  <c r="W32" i="24"/>
  <c r="W35" i="24"/>
  <c r="W40" i="24"/>
  <c r="W41" i="24"/>
  <c r="V5" i="24"/>
  <c r="V6" i="24"/>
  <c r="V7" i="24"/>
  <c r="V8" i="24"/>
  <c r="V9" i="24"/>
  <c r="V10" i="24"/>
  <c r="V11" i="24"/>
  <c r="V12" i="24"/>
  <c r="V13" i="24"/>
  <c r="V14" i="24"/>
  <c r="V15" i="24"/>
  <c r="V16" i="24"/>
  <c r="V17" i="24"/>
  <c r="V18" i="24"/>
  <c r="V19" i="24"/>
  <c r="V20" i="24"/>
  <c r="V21" i="24"/>
  <c r="V22" i="24"/>
  <c r="V23" i="24"/>
  <c r="V24" i="24"/>
  <c r="V25" i="24"/>
  <c r="V26" i="24"/>
  <c r="V27" i="24"/>
  <c r="V28" i="24"/>
  <c r="V29" i="24"/>
  <c r="V30" i="24"/>
  <c r="V31" i="24"/>
  <c r="V32" i="24"/>
  <c r="V35" i="24"/>
  <c r="V40" i="24"/>
  <c r="V41" i="24"/>
  <c r="U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5" i="24"/>
  <c r="U40" i="24"/>
  <c r="U41" i="24"/>
  <c r="T5" i="24"/>
  <c r="T6" i="24"/>
  <c r="T7" i="24"/>
  <c r="T8" i="24"/>
  <c r="T9" i="24"/>
  <c r="T10" i="24"/>
  <c r="T11" i="24"/>
  <c r="T12" i="24"/>
  <c r="T13" i="24"/>
  <c r="T14" i="24"/>
  <c r="T15" i="24"/>
  <c r="T16" i="24"/>
  <c r="T17" i="24"/>
  <c r="T18" i="24"/>
  <c r="T19" i="24"/>
  <c r="T20" i="24"/>
  <c r="T21" i="24"/>
  <c r="T22" i="24"/>
  <c r="T23" i="24"/>
  <c r="T24" i="24"/>
  <c r="T25" i="24"/>
  <c r="T26" i="24"/>
  <c r="T27" i="24"/>
  <c r="T28" i="24"/>
  <c r="T29" i="24"/>
  <c r="T30" i="24"/>
  <c r="T31" i="24"/>
  <c r="T32" i="24"/>
  <c r="T35" i="24"/>
  <c r="T40" i="24"/>
  <c r="T41"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5" i="24"/>
  <c r="S40" i="24"/>
  <c r="S41" i="24"/>
  <c r="S4" i="24"/>
  <c r="T4" i="24"/>
  <c r="U4" i="24"/>
  <c r="V4" i="24"/>
  <c r="W4" i="24"/>
  <c r="X4" i="24"/>
  <c r="Y4" i="24"/>
  <c r="Z4" i="24"/>
  <c r="AA4" i="24"/>
  <c r="AB4" i="24"/>
  <c r="AC4" i="24"/>
  <c r="R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5" i="24"/>
  <c r="R40" i="24"/>
  <c r="R41" i="24"/>
  <c r="R4" i="24"/>
  <c r="N4" i="42"/>
  <c r="N5" i="42"/>
  <c r="N6" i="42"/>
  <c r="N7" i="42"/>
  <c r="N8" i="42"/>
  <c r="N9" i="42"/>
  <c r="N10" i="42"/>
  <c r="N11" i="42"/>
  <c r="N12" i="42"/>
  <c r="N13" i="42"/>
  <c r="N14" i="42"/>
  <c r="N15" i="42"/>
  <c r="N16" i="42"/>
  <c r="N17" i="42"/>
  <c r="N18" i="42"/>
  <c r="N19" i="42"/>
  <c r="N20" i="42"/>
  <c r="N21" i="42"/>
  <c r="N22" i="42"/>
  <c r="N23" i="42"/>
  <c r="N24" i="42"/>
  <c r="N25" i="42"/>
  <c r="N26" i="42"/>
  <c r="N27" i="42"/>
  <c r="N28" i="42"/>
  <c r="N29" i="42"/>
  <c r="N30" i="42"/>
  <c r="N31" i="42"/>
  <c r="N32" i="42"/>
  <c r="N3" i="42"/>
  <c r="M4" i="42"/>
  <c r="M5" i="42"/>
  <c r="M6" i="42"/>
  <c r="M7" i="42"/>
  <c r="M8" i="42"/>
  <c r="M9" i="42"/>
  <c r="M10" i="42"/>
  <c r="M11" i="42"/>
  <c r="M12" i="42"/>
  <c r="M13" i="42"/>
  <c r="M14" i="42"/>
  <c r="M15" i="42"/>
  <c r="M16" i="42"/>
  <c r="M17" i="42"/>
  <c r="M18" i="42"/>
  <c r="M19" i="42"/>
  <c r="M20" i="42"/>
  <c r="M21" i="42"/>
  <c r="M22" i="42"/>
  <c r="M23" i="42"/>
  <c r="M24" i="42"/>
  <c r="M25" i="42"/>
  <c r="M26" i="42"/>
  <c r="M27" i="42"/>
  <c r="M28" i="42"/>
  <c r="M29" i="42"/>
  <c r="M30" i="42"/>
  <c r="M31" i="42"/>
  <c r="M32" i="42"/>
  <c r="M3" i="42"/>
  <c r="L4" i="42"/>
  <c r="L5" i="42"/>
  <c r="L6" i="42"/>
  <c r="L7" i="42"/>
  <c r="L8" i="42"/>
  <c r="L9" i="42"/>
  <c r="L10" i="42"/>
  <c r="L11" i="42"/>
  <c r="L12" i="42"/>
  <c r="L13" i="42"/>
  <c r="L14" i="42"/>
  <c r="L15" i="42"/>
  <c r="L16" i="42"/>
  <c r="L17" i="42"/>
  <c r="L18" i="42"/>
  <c r="L19" i="42"/>
  <c r="L20" i="42"/>
  <c r="L21" i="42"/>
  <c r="L22" i="42"/>
  <c r="L23" i="42"/>
  <c r="L24" i="42"/>
  <c r="L25" i="42"/>
  <c r="L26" i="42"/>
  <c r="L27" i="42"/>
  <c r="L28" i="42"/>
  <c r="L29" i="42"/>
  <c r="L30" i="42"/>
  <c r="L31" i="42"/>
  <c r="L32" i="42"/>
  <c r="L3" i="42"/>
  <c r="K4" i="42"/>
  <c r="K5" i="42"/>
  <c r="K6" i="42"/>
  <c r="K7" i="42"/>
  <c r="K8" i="42"/>
  <c r="K9" i="42"/>
  <c r="K10" i="42"/>
  <c r="K11" i="42"/>
  <c r="K12" i="42"/>
  <c r="K13" i="42"/>
  <c r="K14" i="42"/>
  <c r="K15" i="42"/>
  <c r="K16" i="42"/>
  <c r="K17" i="42"/>
  <c r="K18" i="42"/>
  <c r="K19" i="42"/>
  <c r="K20" i="42"/>
  <c r="K21" i="42"/>
  <c r="K22" i="42"/>
  <c r="K23" i="42"/>
  <c r="K24" i="42"/>
  <c r="K25" i="42"/>
  <c r="K26" i="42"/>
  <c r="K27" i="42"/>
  <c r="K28" i="42"/>
  <c r="K29" i="42"/>
  <c r="K30" i="42"/>
  <c r="K31" i="42"/>
  <c r="K32" i="42"/>
  <c r="K3" i="42"/>
  <c r="J4" i="42"/>
  <c r="J5" i="42"/>
  <c r="J6" i="42"/>
  <c r="J7" i="42"/>
  <c r="J8" i="42"/>
  <c r="J9" i="42"/>
  <c r="J10" i="42"/>
  <c r="J11" i="42"/>
  <c r="J12" i="42"/>
  <c r="J13" i="42"/>
  <c r="J14" i="42"/>
  <c r="J15" i="42"/>
  <c r="J16" i="42"/>
  <c r="J17" i="42"/>
  <c r="J18" i="42"/>
  <c r="J19" i="42"/>
  <c r="J20" i="42"/>
  <c r="J21" i="42"/>
  <c r="J22" i="42"/>
  <c r="J23" i="42"/>
  <c r="J24" i="42"/>
  <c r="J25" i="42"/>
  <c r="J26" i="42"/>
  <c r="J27" i="42"/>
  <c r="J28" i="42"/>
  <c r="J29" i="42"/>
  <c r="J30" i="42"/>
  <c r="J31" i="42"/>
  <c r="J32" i="42"/>
  <c r="J3" i="42"/>
  <c r="I4" i="42"/>
  <c r="I5" i="42"/>
  <c r="I6" i="42"/>
  <c r="I7" i="42"/>
  <c r="I8" i="42"/>
  <c r="I9" i="42"/>
  <c r="I10" i="42"/>
  <c r="I11" i="42"/>
  <c r="I12" i="42"/>
  <c r="I13" i="42"/>
  <c r="I14" i="42"/>
  <c r="I15" i="42"/>
  <c r="I16" i="42"/>
  <c r="I17" i="42"/>
  <c r="I18" i="42"/>
  <c r="I19" i="42"/>
  <c r="I20" i="42"/>
  <c r="I21" i="42"/>
  <c r="I22" i="42"/>
  <c r="I23" i="42"/>
  <c r="I24" i="42"/>
  <c r="I25" i="42"/>
  <c r="I26" i="42"/>
  <c r="I27" i="42"/>
  <c r="I28" i="42"/>
  <c r="I29" i="42"/>
  <c r="I30" i="42"/>
  <c r="I31" i="42"/>
  <c r="I32" i="42"/>
  <c r="I3" i="42"/>
  <c r="H3" i="42"/>
  <c r="H4" i="42"/>
  <c r="H5" i="42"/>
  <c r="H6" i="42"/>
  <c r="H7" i="42"/>
  <c r="H8" i="42"/>
  <c r="H9" i="42"/>
  <c r="H10" i="42"/>
  <c r="H11" i="42"/>
  <c r="H12" i="42"/>
  <c r="H13" i="42"/>
  <c r="H14" i="42"/>
  <c r="H15" i="42"/>
  <c r="H16" i="42"/>
  <c r="H17" i="42"/>
  <c r="H18" i="42"/>
  <c r="H19" i="42"/>
  <c r="H20" i="42"/>
  <c r="H21" i="42"/>
  <c r="H22" i="42"/>
  <c r="H23" i="42"/>
  <c r="H24" i="42"/>
  <c r="H25" i="42"/>
  <c r="H26" i="42"/>
  <c r="H27" i="42"/>
  <c r="H28" i="42"/>
  <c r="H29" i="42"/>
  <c r="H30" i="42"/>
  <c r="H31" i="42"/>
  <c r="H32" i="42"/>
  <c r="G4" i="42"/>
  <c r="G5" i="42"/>
  <c r="G6" i="42"/>
  <c r="G7" i="42"/>
  <c r="G8" i="42"/>
  <c r="G9" i="42"/>
  <c r="G10" i="42"/>
  <c r="G11" i="42"/>
  <c r="G12" i="42"/>
  <c r="G13" i="42"/>
  <c r="G14" i="42"/>
  <c r="G15" i="42"/>
  <c r="G16" i="42"/>
  <c r="G17" i="42"/>
  <c r="G18" i="42"/>
  <c r="G19" i="42"/>
  <c r="G20" i="42"/>
  <c r="G21" i="42"/>
  <c r="G22" i="42"/>
  <c r="G23" i="42"/>
  <c r="G24" i="42"/>
  <c r="G25" i="42"/>
  <c r="G26" i="42"/>
  <c r="G27" i="42"/>
  <c r="G28" i="42"/>
  <c r="G29" i="42"/>
  <c r="G30" i="42"/>
  <c r="G31" i="42"/>
  <c r="G32" i="42"/>
  <c r="G3" i="42"/>
  <c r="F4" i="42"/>
  <c r="F5" i="42"/>
  <c r="F6" i="42"/>
  <c r="F7" i="42"/>
  <c r="F8" i="42"/>
  <c r="F9" i="42"/>
  <c r="F10" i="42"/>
  <c r="F11" i="42"/>
  <c r="F12" i="42"/>
  <c r="F13" i="42"/>
  <c r="F14" i="42"/>
  <c r="F15" i="42"/>
  <c r="F16" i="42"/>
  <c r="F17" i="42"/>
  <c r="F18" i="42"/>
  <c r="F19" i="42"/>
  <c r="F20" i="42"/>
  <c r="F21" i="42"/>
  <c r="F22" i="42"/>
  <c r="F23" i="42"/>
  <c r="F24" i="42"/>
  <c r="F25" i="42"/>
  <c r="F26" i="42"/>
  <c r="F27" i="42"/>
  <c r="F28" i="42"/>
  <c r="F29" i="42"/>
  <c r="F30" i="42"/>
  <c r="F31" i="42"/>
  <c r="F32" i="42"/>
  <c r="F3" i="42"/>
  <c r="E4" i="42"/>
  <c r="E5" i="42"/>
  <c r="E6" i="42"/>
  <c r="E7" i="42"/>
  <c r="E8" i="42"/>
  <c r="E9" i="42"/>
  <c r="E10" i="42"/>
  <c r="E11" i="42"/>
  <c r="E12" i="42"/>
  <c r="E13" i="42"/>
  <c r="E14" i="42"/>
  <c r="E15" i="42"/>
  <c r="E16" i="42"/>
  <c r="E17" i="42"/>
  <c r="E18" i="42"/>
  <c r="E19" i="42"/>
  <c r="E20" i="42"/>
  <c r="E21" i="42"/>
  <c r="E22" i="42"/>
  <c r="E23" i="42"/>
  <c r="E24" i="42"/>
  <c r="E25" i="42"/>
  <c r="E26" i="42"/>
  <c r="E27" i="42"/>
  <c r="E28" i="42"/>
  <c r="E29" i="42"/>
  <c r="E30" i="42"/>
  <c r="E31" i="42"/>
  <c r="E32" i="42"/>
  <c r="E3" i="42"/>
  <c r="D4" i="42"/>
  <c r="D5" i="42"/>
  <c r="D6" i="42"/>
  <c r="D7" i="42"/>
  <c r="D8" i="42"/>
  <c r="D9" i="42"/>
  <c r="D10" i="42"/>
  <c r="D11" i="42"/>
  <c r="D12" i="42"/>
  <c r="D13" i="42"/>
  <c r="D14" i="42"/>
  <c r="D15" i="42"/>
  <c r="D16" i="42"/>
  <c r="D17" i="42"/>
  <c r="D18" i="42"/>
  <c r="D19" i="42"/>
  <c r="D20" i="42"/>
  <c r="D21" i="42"/>
  <c r="D22" i="42"/>
  <c r="D23" i="42"/>
  <c r="D24" i="42"/>
  <c r="D25" i="42"/>
  <c r="D26" i="42"/>
  <c r="D27" i="42"/>
  <c r="D28" i="42"/>
  <c r="D29" i="42"/>
  <c r="D30" i="42"/>
  <c r="D31" i="42"/>
  <c r="D32" i="42"/>
  <c r="D3" i="42"/>
  <c r="C3" i="42"/>
  <c r="C4" i="42"/>
  <c r="C5" i="42"/>
  <c r="C6" i="42"/>
  <c r="C7" i="42"/>
  <c r="C8" i="42"/>
  <c r="C9" i="42"/>
  <c r="C10" i="42"/>
  <c r="C11" i="42"/>
  <c r="C12" i="42"/>
  <c r="C13" i="42"/>
  <c r="C14" i="42"/>
  <c r="C15" i="42"/>
  <c r="C16" i="42"/>
  <c r="C17" i="42"/>
  <c r="C18" i="42"/>
  <c r="C19" i="42"/>
  <c r="C20" i="42"/>
  <c r="C21" i="42"/>
  <c r="C22" i="42"/>
  <c r="C23" i="42"/>
  <c r="C24" i="42"/>
  <c r="C25" i="42"/>
  <c r="C26" i="42"/>
  <c r="C27" i="42"/>
  <c r="C28" i="42"/>
  <c r="C29" i="42"/>
  <c r="C30" i="42"/>
  <c r="C31" i="42"/>
  <c r="C32" i="42"/>
</calcChain>
</file>

<file path=xl/sharedStrings.xml><?xml version="1.0" encoding="utf-8"?>
<sst xmlns="http://schemas.openxmlformats.org/spreadsheetml/2006/main" count="188" uniqueCount="138">
  <si>
    <t>Name</t>
  </si>
  <si>
    <t>Assignment Name</t>
  </si>
  <si>
    <t>Project</t>
  </si>
  <si>
    <t>Quiz</t>
  </si>
  <si>
    <t>MML</t>
  </si>
  <si>
    <t>Exam 1</t>
  </si>
  <si>
    <t>Exam 2</t>
  </si>
  <si>
    <t>Final</t>
  </si>
  <si>
    <r>
      <rPr>
        <b/>
        <sz val="14"/>
        <color rgb="FFFF0000"/>
        <rFont val="Times"/>
        <family val="1"/>
      </rPr>
      <t>Step 2</t>
    </r>
    <r>
      <rPr>
        <sz val="14"/>
        <color theme="1"/>
        <rFont val="Times"/>
        <family val="1"/>
      </rPr>
      <t>: Finish This table</t>
    </r>
  </si>
  <si>
    <r>
      <rPr>
        <b/>
        <sz val="14"/>
        <color rgb="FFFF0000"/>
        <rFont val="Times"/>
        <family val="1"/>
      </rPr>
      <t>Step 1:</t>
    </r>
    <r>
      <rPr>
        <sz val="14"/>
        <color theme="1"/>
        <rFont val="Times"/>
        <family val="1"/>
      </rPr>
      <t xml:space="preserve"> Add Students</t>
    </r>
  </si>
  <si>
    <t>Score</t>
  </si>
  <si>
    <t>Warning:                                     This sheet cannot be changed!!!</t>
  </si>
  <si>
    <t>No</t>
  </si>
  <si>
    <t>Total</t>
  </si>
  <si>
    <t>Quiz1</t>
  </si>
  <si>
    <t>MML1</t>
  </si>
  <si>
    <t>Percentage</t>
  </si>
  <si>
    <t>Chp 5</t>
  </si>
  <si>
    <t>Sec 6.1</t>
  </si>
  <si>
    <t>Sec 6.2</t>
  </si>
  <si>
    <t>Sec 6.3</t>
  </si>
  <si>
    <t>Sec 6.4</t>
  </si>
  <si>
    <t>Sec 6.5</t>
  </si>
  <si>
    <t>Sec 6.6</t>
  </si>
  <si>
    <t>Sec 6.7</t>
  </si>
  <si>
    <t>Sec 8.1</t>
  </si>
  <si>
    <t>Sec 8.2</t>
  </si>
  <si>
    <t>Sec 8.3</t>
  </si>
  <si>
    <t>Sec 8.4</t>
  </si>
  <si>
    <t>Sec 8.5</t>
  </si>
  <si>
    <t>Sec 8.8</t>
  </si>
  <si>
    <t>Sec 8.9</t>
  </si>
  <si>
    <t>Sec 9.1</t>
  </si>
  <si>
    <t>Sec 9.2</t>
  </si>
  <si>
    <t>Sec 9.3</t>
  </si>
  <si>
    <t>Sec 10.1</t>
  </si>
  <si>
    <t>Sec 10.2</t>
  </si>
  <si>
    <t>Sec 10.3</t>
  </si>
  <si>
    <t>Sec 10.4</t>
  </si>
  <si>
    <t>Sec 10.5</t>
  </si>
  <si>
    <t>Sec 10.6</t>
  </si>
  <si>
    <t>Sec 10.7</t>
  </si>
  <si>
    <t>Sec 11.1</t>
  </si>
  <si>
    <t>Sec 11.2</t>
  </si>
  <si>
    <t>Sec 11.3</t>
  </si>
  <si>
    <t>Sec 11.4</t>
  </si>
  <si>
    <t>MML 1</t>
  </si>
  <si>
    <t>MML 2</t>
  </si>
  <si>
    <t>MML 3</t>
  </si>
  <si>
    <t>MML 4</t>
  </si>
  <si>
    <t>MML 5</t>
  </si>
  <si>
    <t>MML 6</t>
  </si>
  <si>
    <t>MML 7</t>
  </si>
  <si>
    <t>MML 8</t>
  </si>
  <si>
    <t>MML 9</t>
  </si>
  <si>
    <t>MML 10</t>
  </si>
  <si>
    <t>MML 11</t>
  </si>
  <si>
    <t>MML 12</t>
  </si>
  <si>
    <t>Test</t>
  </si>
  <si>
    <t>Perfect</t>
  </si>
  <si>
    <t>MML2</t>
  </si>
  <si>
    <t>MML3</t>
  </si>
  <si>
    <t>MML4</t>
  </si>
  <si>
    <t>MML5</t>
  </si>
  <si>
    <t>MML6</t>
  </si>
  <si>
    <t>MML7</t>
  </si>
  <si>
    <t>MML8</t>
  </si>
  <si>
    <t>MML9</t>
  </si>
  <si>
    <t>MML10</t>
  </si>
  <si>
    <t>MML11</t>
  </si>
  <si>
    <t>MML12</t>
  </si>
  <si>
    <t>D</t>
  </si>
  <si>
    <t>Quiz0</t>
  </si>
  <si>
    <t>Quiz2</t>
  </si>
  <si>
    <t>Quiz3</t>
  </si>
  <si>
    <t>Quiz4</t>
  </si>
  <si>
    <t>Quiz5</t>
  </si>
  <si>
    <t>Quiz6</t>
  </si>
  <si>
    <t>Quiz7</t>
  </si>
  <si>
    <t>Quiz8</t>
  </si>
  <si>
    <t>Quiz9</t>
  </si>
  <si>
    <t>Quiz10</t>
  </si>
  <si>
    <t>Student Report after Exam 2</t>
  </si>
  <si>
    <t>Name:</t>
  </si>
  <si>
    <t xml:space="preserve">The big task we have now is the final. Here is a brief summary which will help you know how many points you need for the final in order to get the score you want (assume the final is 100 points in total). Make use of this information and figure out how much effort you need to put during the rest semester. </t>
  </si>
  <si>
    <t>Minimum score for final if you perform similarly on rest quiz, MML and did perfectly on project</t>
  </si>
  <si>
    <t>Grading Scale</t>
  </si>
  <si>
    <t>To get:</t>
  </si>
  <si>
    <t>You need:</t>
  </si>
  <si>
    <t>A:</t>
  </si>
  <si>
    <t>92-100%</t>
  </si>
  <si>
    <t>A</t>
  </si>
  <si>
    <t>A-:</t>
  </si>
  <si>
    <t>90-91.99%</t>
  </si>
  <si>
    <t>A-</t>
  </si>
  <si>
    <t xml:space="preserve">B+:  </t>
  </si>
  <si>
    <t>88-89.99%</t>
  </si>
  <si>
    <t>B+</t>
  </si>
  <si>
    <t>B:</t>
  </si>
  <si>
    <t>82-87.99%</t>
  </si>
  <si>
    <t>B</t>
  </si>
  <si>
    <t>B-:</t>
  </si>
  <si>
    <t>80-81.99%</t>
  </si>
  <si>
    <t>B-</t>
  </si>
  <si>
    <t>C+:</t>
  </si>
  <si>
    <t>78-79.99%</t>
  </si>
  <si>
    <t>C+</t>
  </si>
  <si>
    <t>C:</t>
  </si>
  <si>
    <t>72-77.99%</t>
  </si>
  <si>
    <t>C</t>
  </si>
  <si>
    <t>C-:</t>
  </si>
  <si>
    <t>70-71.99%</t>
  </si>
  <si>
    <t>C-</t>
  </si>
  <si>
    <t>D+:</t>
  </si>
  <si>
    <t>68-69.99%</t>
  </si>
  <si>
    <t>D+</t>
  </si>
  <si>
    <t>62-67.99%</t>
  </si>
  <si>
    <t>D-:</t>
  </si>
  <si>
    <t>60-61.99%</t>
  </si>
  <si>
    <t>D-</t>
  </si>
  <si>
    <t xml:space="preserve">F: </t>
  </si>
  <si>
    <t>Below 60%</t>
  </si>
  <si>
    <t>Minimum score for final if you did perfectly on rest quiz, MML, project</t>
  </si>
  <si>
    <t>Perform similarly to previous quiz, MML; perfect on project</t>
  </si>
  <si>
    <t>A:92</t>
  </si>
  <si>
    <t>A-:90</t>
  </si>
  <si>
    <t>B+:88</t>
  </si>
  <si>
    <t>B:82</t>
  </si>
  <si>
    <t>B-:80</t>
  </si>
  <si>
    <t>C+:78</t>
  </si>
  <si>
    <t>C:72</t>
  </si>
  <si>
    <t>D+:68</t>
  </si>
  <si>
    <t>D:62</t>
  </si>
  <si>
    <t>D-:60</t>
  </si>
  <si>
    <t>Exam</t>
  </si>
  <si>
    <t>Perform perfectly on rest quizs, MML, project</t>
  </si>
  <si>
    <t>C-:70</t>
  </si>
  <si>
    <t>No Change!!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</si>
</sst>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2"/>
      <color theme="1"/>
      <name val="Calibri"/>
      <family val="2"/>
      <scheme val="minor"/>
    </font>
    <font>
      <sz val="14"/>
      <color theme="1"/>
      <name val="Calibri"/>
      <family val="2"/>
      <scheme val="minor"/>
    </font>
    <font>
      <u/>
      <sz val="12"/>
      <color theme="10"/>
      <name val="Calibri"/>
      <family val="2"/>
      <scheme val="minor"/>
    </font>
    <font>
      <sz val="14"/>
      <color theme="1"/>
      <name val="Times"/>
      <family val="1"/>
    </font>
    <font>
      <sz val="24"/>
      <color theme="1"/>
      <name val="Times"/>
      <family val="1"/>
    </font>
    <font>
      <b/>
      <sz val="14"/>
      <color rgb="FFFF0000"/>
      <name val="Times"/>
      <family val="1"/>
    </font>
    <font>
      <sz val="22"/>
      <color theme="1"/>
      <name val="Times"/>
      <family val="1"/>
    </font>
    <font>
      <sz val="14"/>
      <color theme="1"/>
      <name val="Times Roman"/>
    </font>
    <font>
      <sz val="14"/>
      <color theme="7" tint="0.79998168889431442"/>
      <name val="Times Roman"/>
    </font>
    <font>
      <sz val="14"/>
      <name val="Times Roman"/>
    </font>
    <font>
      <sz val="12"/>
      <color rgb="FF000000"/>
      <name val="Calibri"/>
      <family val="2"/>
      <scheme val="minor"/>
    </font>
    <font>
      <b/>
      <sz val="12"/>
      <color theme="1"/>
      <name val="Calibri"/>
      <family val="2"/>
      <scheme val="minor"/>
    </font>
    <font>
      <b/>
      <sz val="24"/>
      <color theme="0"/>
      <name val="Calibri (Body)"/>
    </font>
    <font>
      <sz val="18"/>
      <color theme="1"/>
      <name val="Calibri"/>
      <family val="2"/>
      <scheme val="minor"/>
    </font>
    <font>
      <b/>
      <sz val="14"/>
      <color rgb="FFFF0000"/>
      <name val="Calibri"/>
      <family val="2"/>
      <scheme val="minor"/>
    </font>
    <font>
      <b/>
      <sz val="14"/>
      <color theme="1"/>
      <name val="Calibri (Body)"/>
    </font>
    <font>
      <b/>
      <sz val="14"/>
      <color theme="1"/>
      <name val="Calibri"/>
      <family val="2"/>
      <scheme val="minor"/>
    </font>
    <font>
      <sz val="12"/>
      <color rgb="FF000000"/>
      <name val="Garamond"/>
      <family val="1"/>
    </font>
    <font>
      <sz val="11"/>
      <color theme="1"/>
      <name val="Garamond"/>
      <family val="1"/>
    </font>
    <font>
      <b/>
      <sz val="14"/>
      <color rgb="FFFF0000"/>
      <name val="Calibri (Body)"/>
    </font>
    <font>
      <sz val="12"/>
      <color theme="1"/>
      <name val="Times Roman"/>
    </font>
    <font>
      <sz val="18"/>
      <color theme="1"/>
      <name val="Times Roman"/>
    </font>
    <font>
      <sz val="12"/>
      <color theme="1"/>
      <name val="TimeS"/>
      <family val="1"/>
    </font>
    <font>
      <sz val="14"/>
      <color rgb="FF2D3B45"/>
      <name val="Times Roman"/>
    </font>
    <font>
      <u/>
      <sz val="12"/>
      <color theme="10"/>
      <name val="Times Roman"/>
    </font>
    <font>
      <sz val="28"/>
      <color rgb="FFFF0000"/>
      <name val="Times Roman"/>
    </font>
    <font>
      <sz val="14"/>
      <color rgb="FF000000"/>
      <name val="Times Roman"/>
    </font>
  </fonts>
  <fills count="20">
    <fill>
      <patternFill patternType="none"/>
    </fill>
    <fill>
      <patternFill patternType="gray125"/>
    </fill>
    <fill>
      <patternFill patternType="solid">
        <fgColor theme="8" tint="0.79998168889431442"/>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rgb="FFFFFF00"/>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A4FFF1"/>
        <bgColor indexed="64"/>
      </patternFill>
    </fill>
    <fill>
      <patternFill patternType="solid">
        <fgColor rgb="FFF2FFB7"/>
        <bgColor indexed="64"/>
      </patternFill>
    </fill>
    <fill>
      <patternFill patternType="solid">
        <fgColor rgb="FFFFD6F0"/>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9"/>
        <bgColor indexed="64"/>
      </patternFill>
    </fill>
    <fill>
      <patternFill patternType="solid">
        <fgColor theme="2" tint="-9.9978637043366805E-2"/>
        <bgColor indexed="64"/>
      </patternFill>
    </fill>
  </fills>
  <borders count="20">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style="thin">
        <color indexed="64"/>
      </right>
      <top/>
      <bottom/>
      <diagonal/>
    </border>
    <border>
      <left style="thin">
        <color indexed="64"/>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2">
    <xf numFmtId="0" fontId="0" fillId="0" borderId="0"/>
    <xf numFmtId="0" fontId="2" fillId="0" borderId="0" applyNumberFormat="0" applyFill="0" applyBorder="0" applyAlignment="0" applyProtection="0"/>
  </cellStyleXfs>
  <cellXfs count="147">
    <xf numFmtId="0" fontId="0" fillId="0" borderId="0" xfId="0"/>
    <xf numFmtId="0" fontId="1" fillId="0" borderId="0" xfId="0" applyFont="1" applyBorder="1" applyAlignment="1">
      <alignment horizontal="center"/>
    </xf>
    <xf numFmtId="0" fontId="3" fillId="0" borderId="0" xfId="0" applyFont="1" applyBorder="1" applyAlignment="1">
      <alignment horizontal="center"/>
    </xf>
    <xf numFmtId="0" fontId="3" fillId="0" borderId="0" xfId="1"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3" borderId="2" xfId="0" applyFont="1" applyFill="1" applyBorder="1" applyAlignment="1">
      <alignment horizontal="center"/>
    </xf>
    <xf numFmtId="0" fontId="3" fillId="0" borderId="0" xfId="0" applyFont="1" applyBorder="1" applyAlignment="1"/>
    <xf numFmtId="0" fontId="3" fillId="3" borderId="1" xfId="0" applyFont="1" applyFill="1" applyBorder="1" applyAlignment="1">
      <alignment horizontal="center"/>
    </xf>
    <xf numFmtId="0" fontId="3" fillId="0" borderId="0" xfId="0" applyFont="1" applyAlignment="1">
      <alignment horizontal="center"/>
    </xf>
    <xf numFmtId="0" fontId="0" fillId="0" borderId="0" xfId="0" applyAlignment="1">
      <alignment horizontal="center"/>
    </xf>
    <xf numFmtId="0" fontId="3" fillId="0" borderId="7" xfId="0" applyFont="1" applyFill="1" applyBorder="1" applyAlignment="1">
      <alignment horizontal="center"/>
    </xf>
    <xf numFmtId="0" fontId="3" fillId="0" borderId="0" xfId="0" applyFont="1" applyFill="1" applyBorder="1" applyAlignment="1">
      <alignment vertical="center"/>
    </xf>
    <xf numFmtId="0" fontId="3" fillId="0" borderId="0" xfId="0" applyFont="1" applyFill="1" applyBorder="1" applyAlignment="1">
      <alignment horizontal="center" vertical="justify"/>
    </xf>
    <xf numFmtId="0" fontId="3" fillId="0" borderId="0" xfId="0" applyFont="1" applyFill="1" applyBorder="1" applyAlignment="1">
      <alignment vertical="justify"/>
    </xf>
    <xf numFmtId="0" fontId="4" fillId="0" borderId="0" xfId="0" applyFont="1" applyFill="1" applyBorder="1" applyAlignment="1">
      <alignment vertical="justify"/>
    </xf>
    <xf numFmtId="0" fontId="3" fillId="2" borderId="0" xfId="0" applyFont="1" applyFill="1" applyBorder="1" applyAlignment="1">
      <alignment horizontal="center"/>
    </xf>
    <xf numFmtId="0" fontId="7" fillId="0" borderId="0" xfId="0" applyFont="1" applyAlignment="1">
      <alignment horizontal="center"/>
    </xf>
    <xf numFmtId="0" fontId="3" fillId="0" borderId="8" xfId="0" applyFont="1" applyBorder="1" applyAlignment="1">
      <alignment horizontal="center"/>
    </xf>
    <xf numFmtId="0" fontId="3" fillId="0" borderId="8" xfId="1" applyFont="1" applyBorder="1" applyAlignment="1">
      <alignment horizontal="center"/>
    </xf>
    <xf numFmtId="0" fontId="1" fillId="0" borderId="8" xfId="0" applyFont="1" applyBorder="1" applyAlignment="1">
      <alignment horizontal="center"/>
    </xf>
    <xf numFmtId="0" fontId="3" fillId="0" borderId="0" xfId="0" applyFont="1" applyFill="1" applyBorder="1" applyAlignment="1">
      <alignment horizontal="center"/>
    </xf>
    <xf numFmtId="0" fontId="3" fillId="2" borderId="8" xfId="0" applyFont="1" applyFill="1" applyBorder="1" applyAlignment="1">
      <alignment horizontal="center"/>
    </xf>
    <xf numFmtId="0" fontId="1" fillId="0" borderId="0" xfId="0" applyFont="1" applyAlignment="1">
      <alignment horizontal="center"/>
    </xf>
    <xf numFmtId="0" fontId="3" fillId="14" borderId="0" xfId="0" applyFont="1" applyFill="1" applyAlignment="1">
      <alignment horizontal="center"/>
    </xf>
    <xf numFmtId="0" fontId="7" fillId="11" borderId="0" xfId="0" applyFont="1" applyFill="1" applyAlignment="1">
      <alignment horizontal="center"/>
    </xf>
    <xf numFmtId="0" fontId="3" fillId="10" borderId="0" xfId="0" applyFont="1" applyFill="1" applyAlignment="1">
      <alignment horizontal="center"/>
    </xf>
    <xf numFmtId="0" fontId="7" fillId="10" borderId="0" xfId="0" applyFont="1" applyFill="1" applyAlignment="1">
      <alignment horizontal="center"/>
    </xf>
    <xf numFmtId="0" fontId="7" fillId="0" borderId="0" xfId="0" applyFont="1" applyAlignment="1">
      <alignment horizontal="center"/>
    </xf>
    <xf numFmtId="0" fontId="3" fillId="2" borderId="0" xfId="0" applyFont="1" applyFill="1" applyBorder="1" applyAlignment="1">
      <alignment horizontal="center"/>
    </xf>
    <xf numFmtId="0" fontId="7" fillId="0" borderId="0" xfId="0" applyFont="1" applyAlignment="1">
      <alignment horizontal="center"/>
    </xf>
    <xf numFmtId="0" fontId="7" fillId="10" borderId="0" xfId="0" applyFont="1" applyFill="1" applyAlignment="1">
      <alignment horizontal="center"/>
    </xf>
    <xf numFmtId="0" fontId="3" fillId="11" borderId="0" xfId="0" applyFont="1" applyFill="1" applyAlignment="1">
      <alignment horizontal="center"/>
    </xf>
    <xf numFmtId="9" fontId="7" fillId="0" borderId="0" xfId="0" applyNumberFormat="1" applyFont="1" applyFill="1" applyAlignment="1">
      <alignment horizontal="center"/>
    </xf>
    <xf numFmtId="9" fontId="7" fillId="0" borderId="0" xfId="0" applyNumberFormat="1" applyFont="1" applyAlignment="1">
      <alignment horizontal="center"/>
    </xf>
    <xf numFmtId="0" fontId="3" fillId="0" borderId="0" xfId="0" applyFont="1" applyFill="1" applyAlignment="1">
      <alignment horizontal="center"/>
    </xf>
    <xf numFmtId="0" fontId="13" fillId="0" borderId="0" xfId="0" applyFont="1" applyAlignment="1">
      <alignment horizontal="center"/>
    </xf>
    <xf numFmtId="0" fontId="1" fillId="0" borderId="0" xfId="0" applyFont="1" applyAlignment="1">
      <alignment vertical="justify"/>
    </xf>
    <xf numFmtId="0" fontId="0" fillId="0" borderId="0" xfId="0" applyAlignment="1">
      <alignment horizontal="center" vertical="justify"/>
    </xf>
    <xf numFmtId="0" fontId="14" fillId="0" borderId="0" xfId="0" applyFont="1" applyAlignment="1">
      <alignment vertical="justify"/>
    </xf>
    <xf numFmtId="0" fontId="0" fillId="0" borderId="0" xfId="0" applyAlignment="1">
      <alignment vertical="justify"/>
    </xf>
    <xf numFmtId="0" fontId="16" fillId="19" borderId="18" xfId="0" applyFont="1" applyFill="1" applyBorder="1" applyAlignment="1">
      <alignment horizontal="center"/>
    </xf>
    <xf numFmtId="0" fontId="10" fillId="0" borderId="18" xfId="0" applyFont="1" applyBorder="1" applyAlignment="1">
      <alignment horizontal="center"/>
    </xf>
    <xf numFmtId="0" fontId="17" fillId="0" borderId="18" xfId="0" applyFont="1" applyBorder="1" applyAlignment="1">
      <alignment horizontal="center" vertical="center"/>
    </xf>
    <xf numFmtId="0" fontId="0" fillId="0" borderId="18" xfId="0" applyBorder="1" applyAlignment="1">
      <alignment horizontal="center"/>
    </xf>
    <xf numFmtId="2" fontId="0" fillId="0" borderId="18" xfId="0" applyNumberFormat="1" applyBorder="1" applyAlignment="1">
      <alignment horizontal="center"/>
    </xf>
    <xf numFmtId="0" fontId="0" fillId="0" borderId="0" xfId="0" applyAlignment="1">
      <alignment horizontal="right"/>
    </xf>
    <xf numFmtId="2" fontId="0" fillId="0" borderId="0" xfId="0" applyNumberFormat="1"/>
    <xf numFmtId="0" fontId="11" fillId="0" borderId="0" xfId="0" applyFont="1"/>
    <xf numFmtId="0" fontId="0" fillId="0" borderId="19" xfId="0" applyBorder="1" applyAlignment="1">
      <alignment horizontal="center"/>
    </xf>
    <xf numFmtId="2" fontId="0" fillId="0" borderId="19" xfId="0" applyNumberFormat="1" applyBorder="1" applyAlignment="1">
      <alignment horizontal="center"/>
    </xf>
    <xf numFmtId="0" fontId="0" fillId="0" borderId="12" xfId="0" applyBorder="1" applyAlignment="1">
      <alignment horizontal="center"/>
    </xf>
    <xf numFmtId="2" fontId="0" fillId="0" borderId="12" xfId="0" applyNumberFormat="1" applyBorder="1" applyAlignment="1">
      <alignment horizontal="center"/>
    </xf>
    <xf numFmtId="0" fontId="18" fillId="0" borderId="0" xfId="0" applyFont="1" applyAlignment="1">
      <alignment vertical="center"/>
    </xf>
    <xf numFmtId="0" fontId="17" fillId="0" borderId="0" xfId="0" applyFont="1" applyAlignment="1">
      <alignment horizontal="center" vertical="center"/>
    </xf>
    <xf numFmtId="2" fontId="0" fillId="0" borderId="0" xfId="0" applyNumberFormat="1" applyAlignment="1">
      <alignment horizontal="center"/>
    </xf>
    <xf numFmtId="0" fontId="13" fillId="0" borderId="0" xfId="0" applyFont="1"/>
    <xf numFmtId="0" fontId="10" fillId="0" borderId="0" xfId="0" applyFont="1" applyAlignment="1">
      <alignment horizontal="center"/>
    </xf>
    <xf numFmtId="0" fontId="19" fillId="0" borderId="0" xfId="0" applyFont="1" applyAlignment="1">
      <alignment vertical="justify"/>
    </xf>
    <xf numFmtId="0" fontId="1" fillId="0" borderId="0" xfId="0" applyFont="1" applyAlignment="1">
      <alignment horizontal="center" vertical="justify"/>
    </xf>
    <xf numFmtId="0" fontId="20" fillId="0" borderId="18" xfId="0" applyFont="1" applyBorder="1" applyAlignment="1">
      <alignment horizontal="center"/>
    </xf>
    <xf numFmtId="0" fontId="20" fillId="0" borderId="0" xfId="0" applyFont="1" applyAlignment="1">
      <alignment horizontal="center"/>
    </xf>
    <xf numFmtId="0" fontId="22" fillId="0" borderId="0" xfId="0" applyFont="1"/>
    <xf numFmtId="0" fontId="22" fillId="0" borderId="8" xfId="0" applyFont="1" applyBorder="1"/>
    <xf numFmtId="0" fontId="23" fillId="0" borderId="18" xfId="0" applyFont="1" applyBorder="1" applyAlignment="1">
      <alignment horizontal="center"/>
    </xf>
    <xf numFmtId="0" fontId="24" fillId="0" borderId="18" xfId="1" applyFont="1" applyBorder="1" applyAlignment="1">
      <alignment horizontal="center"/>
    </xf>
    <xf numFmtId="0" fontId="25" fillId="0" borderId="0" xfId="0" applyFont="1" applyAlignment="1">
      <alignment horizontal="center"/>
    </xf>
    <xf numFmtId="0" fontId="3" fillId="4" borderId="1" xfId="0" applyFont="1" applyFill="1" applyBorder="1" applyAlignment="1">
      <alignment horizontal="center" vertical="center"/>
    </xf>
    <xf numFmtId="0" fontId="3" fillId="4" borderId="2" xfId="0" applyFont="1" applyFill="1" applyBorder="1" applyAlignment="1">
      <alignment horizontal="center" vertical="center"/>
    </xf>
    <xf numFmtId="0" fontId="3" fillId="4" borderId="5" xfId="0" applyFont="1" applyFill="1" applyBorder="1" applyAlignment="1">
      <alignment horizontal="center" vertical="center"/>
    </xf>
    <xf numFmtId="0" fontId="3" fillId="4" borderId="6" xfId="0" applyFont="1" applyFill="1" applyBorder="1" applyAlignment="1">
      <alignment horizontal="center" vertical="center"/>
    </xf>
    <xf numFmtId="0" fontId="3" fillId="4" borderId="2" xfId="1" applyFont="1" applyFill="1" applyBorder="1" applyAlignment="1">
      <alignment vertical="center"/>
    </xf>
    <xf numFmtId="0" fontId="3" fillId="4" borderId="6" xfId="1" applyFont="1" applyFill="1" applyBorder="1" applyAlignment="1">
      <alignment vertical="center"/>
    </xf>
    <xf numFmtId="0" fontId="6" fillId="5" borderId="1" xfId="1" applyFont="1" applyFill="1" applyBorder="1" applyAlignment="1">
      <alignment horizontal="center" vertical="justify"/>
    </xf>
    <xf numFmtId="0" fontId="6" fillId="5" borderId="2" xfId="1" applyFont="1" applyFill="1" applyBorder="1" applyAlignment="1">
      <alignment horizontal="center" vertical="justify"/>
    </xf>
    <xf numFmtId="0" fontId="6" fillId="5" borderId="3" xfId="1" applyFont="1" applyFill="1" applyBorder="1" applyAlignment="1">
      <alignment horizontal="center" vertical="justify"/>
    </xf>
    <xf numFmtId="0" fontId="6" fillId="5" borderId="4" xfId="1" applyFont="1" applyFill="1" applyBorder="1" applyAlignment="1">
      <alignment horizontal="center" vertical="justify"/>
    </xf>
    <xf numFmtId="0" fontId="6" fillId="5" borderId="5" xfId="1" applyFont="1" applyFill="1" applyBorder="1" applyAlignment="1">
      <alignment horizontal="center" vertical="justify"/>
    </xf>
    <xf numFmtId="0" fontId="6" fillId="5" borderId="6" xfId="1" applyFont="1" applyFill="1" applyBorder="1" applyAlignment="1">
      <alignment horizontal="center" vertical="justify"/>
    </xf>
    <xf numFmtId="0" fontId="21" fillId="5" borderId="0" xfId="0" applyFont="1" applyFill="1" applyAlignment="1">
      <alignment horizontal="center" vertical="center"/>
    </xf>
    <xf numFmtId="0" fontId="20" fillId="5" borderId="0" xfId="0" applyFont="1" applyFill="1" applyAlignment="1">
      <alignment horizontal="center" vertical="center"/>
    </xf>
    <xf numFmtId="0" fontId="3" fillId="15" borderId="0" xfId="0" applyFont="1" applyFill="1" applyAlignment="1">
      <alignment horizontal="center"/>
    </xf>
    <xf numFmtId="0" fontId="3" fillId="16" borderId="0" xfId="0" applyFont="1" applyFill="1" applyAlignment="1">
      <alignment horizontal="center"/>
    </xf>
    <xf numFmtId="0" fontId="3" fillId="17" borderId="0" xfId="0" applyFont="1" applyFill="1" applyAlignment="1">
      <alignment horizontal="center"/>
    </xf>
    <xf numFmtId="0" fontId="3" fillId="2" borderId="0" xfId="0" applyFont="1" applyFill="1" applyBorder="1" applyAlignment="1">
      <alignment horizontal="center"/>
    </xf>
    <xf numFmtId="0" fontId="3" fillId="3" borderId="0" xfId="0" applyFont="1" applyFill="1" applyBorder="1" applyAlignment="1">
      <alignment horizontal="center"/>
    </xf>
    <xf numFmtId="0" fontId="3" fillId="12" borderId="0" xfId="0" applyFont="1" applyFill="1" applyBorder="1" applyAlignment="1">
      <alignment horizontal="center"/>
    </xf>
    <xf numFmtId="0" fontId="3" fillId="7" borderId="0" xfId="0" applyFont="1" applyFill="1" applyBorder="1" applyAlignment="1">
      <alignment horizontal="center"/>
    </xf>
    <xf numFmtId="0" fontId="3" fillId="6" borderId="0" xfId="0" applyFont="1" applyFill="1" applyBorder="1" applyAlignment="1">
      <alignment horizontal="center"/>
    </xf>
    <xf numFmtId="0" fontId="3" fillId="4" borderId="0" xfId="0" applyFont="1" applyFill="1" applyBorder="1" applyAlignment="1">
      <alignment horizontal="center"/>
    </xf>
    <xf numFmtId="0" fontId="3" fillId="13" borderId="0" xfId="0" applyFont="1" applyFill="1" applyBorder="1" applyAlignment="1">
      <alignment horizontal="center"/>
    </xf>
    <xf numFmtId="0" fontId="3" fillId="3" borderId="0" xfId="0" applyFont="1" applyFill="1" applyAlignment="1">
      <alignment horizontal="center"/>
    </xf>
    <xf numFmtId="0" fontId="3" fillId="12" borderId="0" xfId="0" applyFont="1" applyFill="1" applyAlignment="1">
      <alignment horizontal="center"/>
    </xf>
    <xf numFmtId="0" fontId="3" fillId="7" borderId="0" xfId="0" applyFont="1" applyFill="1" applyAlignment="1">
      <alignment horizontal="center"/>
    </xf>
    <xf numFmtId="0" fontId="3" fillId="6" borderId="0" xfId="0" applyFont="1" applyFill="1" applyAlignment="1">
      <alignment horizontal="center"/>
    </xf>
    <xf numFmtId="0" fontId="3" fillId="4" borderId="0" xfId="0" applyFont="1" applyFill="1" applyAlignment="1">
      <alignment horizontal="center"/>
    </xf>
    <xf numFmtId="0" fontId="3" fillId="13" borderId="0" xfId="0" applyFont="1" applyFill="1" applyAlignment="1">
      <alignment horizontal="center"/>
    </xf>
    <xf numFmtId="0" fontId="3" fillId="2" borderId="0" xfId="0" applyFont="1" applyFill="1" applyAlignment="1">
      <alignment horizontal="center"/>
    </xf>
    <xf numFmtId="0" fontId="3" fillId="14" borderId="0" xfId="0" applyFont="1" applyFill="1" applyBorder="1" applyAlignment="1">
      <alignment horizontal="center"/>
    </xf>
    <xf numFmtId="0" fontId="3" fillId="15" borderId="0" xfId="0" applyFont="1" applyFill="1" applyBorder="1" applyAlignment="1">
      <alignment horizontal="center"/>
    </xf>
    <xf numFmtId="0" fontId="3" fillId="16" borderId="0" xfId="0" applyFont="1" applyFill="1" applyBorder="1" applyAlignment="1">
      <alignment horizontal="center"/>
    </xf>
    <xf numFmtId="0" fontId="3" fillId="2" borderId="0" xfId="0" applyFont="1" applyFill="1" applyBorder="1" applyAlignment="1">
      <alignment horizontal="center" vertical="center"/>
    </xf>
    <xf numFmtId="0" fontId="3" fillId="2" borderId="8" xfId="0" applyFont="1" applyFill="1" applyBorder="1" applyAlignment="1">
      <alignment horizontal="center" vertical="center"/>
    </xf>
    <xf numFmtId="0" fontId="3" fillId="11" borderId="9" xfId="0" applyFont="1" applyFill="1" applyBorder="1" applyAlignment="1">
      <alignment horizontal="center"/>
    </xf>
    <xf numFmtId="0" fontId="3" fillId="11" borderId="0" xfId="0" applyFont="1" applyFill="1" applyAlignment="1">
      <alignment horizontal="center"/>
    </xf>
    <xf numFmtId="0" fontId="22" fillId="0" borderId="0" xfId="0" applyFont="1" applyAlignment="1">
      <alignment horizontal="center"/>
    </xf>
    <xf numFmtId="0" fontId="7" fillId="0" borderId="0" xfId="0" applyFont="1" applyAlignment="1">
      <alignment horizontal="center"/>
    </xf>
    <xf numFmtId="0" fontId="9" fillId="3" borderId="0" xfId="0" applyFont="1" applyFill="1" applyAlignment="1">
      <alignment horizontal="center"/>
    </xf>
    <xf numFmtId="0" fontId="8" fillId="3" borderId="0" xfId="0" applyFont="1" applyFill="1" applyAlignment="1">
      <alignment horizontal="center"/>
    </xf>
    <xf numFmtId="9" fontId="7" fillId="0" borderId="0" xfId="0" applyNumberFormat="1" applyFont="1" applyAlignment="1">
      <alignment horizontal="center"/>
    </xf>
    <xf numFmtId="0" fontId="7" fillId="6" borderId="0" xfId="0" applyFont="1" applyFill="1" applyAlignment="1">
      <alignment horizontal="center"/>
    </xf>
    <xf numFmtId="0" fontId="7" fillId="2" borderId="0" xfId="0" applyFont="1" applyFill="1" applyBorder="1" applyAlignment="1">
      <alignment horizontal="center"/>
    </xf>
    <xf numFmtId="0" fontId="7" fillId="2" borderId="0" xfId="0" applyFont="1" applyFill="1" applyAlignment="1">
      <alignment horizontal="center"/>
    </xf>
    <xf numFmtId="0" fontId="7" fillId="10" borderId="0" xfId="0" applyFont="1" applyFill="1" applyAlignment="1">
      <alignment horizontal="center"/>
    </xf>
    <xf numFmtId="0" fontId="7" fillId="9" borderId="0" xfId="0" applyFont="1" applyFill="1" applyAlignment="1">
      <alignment horizontal="center"/>
    </xf>
    <xf numFmtId="0" fontId="7" fillId="8" borderId="0" xfId="0" applyFont="1" applyFill="1" applyAlignment="1">
      <alignment horizontal="center"/>
    </xf>
    <xf numFmtId="0" fontId="7" fillId="7" borderId="0" xfId="0" applyFont="1" applyFill="1" applyAlignment="1">
      <alignment horizontal="center"/>
    </xf>
    <xf numFmtId="0" fontId="12" fillId="18" borderId="0" xfId="0" applyFont="1" applyFill="1" applyAlignment="1">
      <alignment horizontal="center" vertical="center"/>
    </xf>
    <xf numFmtId="0" fontId="13" fillId="0" borderId="10" xfId="0" applyFont="1" applyBorder="1" applyAlignment="1">
      <alignment horizontal="center"/>
    </xf>
    <xf numFmtId="0" fontId="1" fillId="0" borderId="11" xfId="0" applyFont="1" applyBorder="1" applyAlignment="1">
      <alignment horizontal="center" vertical="justify"/>
    </xf>
    <xf numFmtId="0" fontId="1" fillId="0" borderId="12" xfId="0" applyFont="1" applyBorder="1" applyAlignment="1">
      <alignment horizontal="center" vertical="justify"/>
    </xf>
    <xf numFmtId="0" fontId="1" fillId="0" borderId="13" xfId="0" applyFont="1" applyBorder="1" applyAlignment="1">
      <alignment horizontal="center" vertical="justify"/>
    </xf>
    <xf numFmtId="0" fontId="1" fillId="0" borderId="9" xfId="0" applyFont="1" applyBorder="1" applyAlignment="1">
      <alignment horizontal="center" vertical="justify"/>
    </xf>
    <xf numFmtId="0" fontId="1" fillId="0" borderId="0" xfId="0" applyFont="1" applyAlignment="1">
      <alignment horizontal="center" vertical="justify"/>
    </xf>
    <xf numFmtId="0" fontId="1" fillId="0" borderId="8" xfId="0" applyFont="1" applyBorder="1" applyAlignment="1">
      <alignment horizontal="center" vertical="justify"/>
    </xf>
    <xf numFmtId="0" fontId="1" fillId="0" borderId="14" xfId="0" applyFont="1" applyBorder="1" applyAlignment="1">
      <alignment horizontal="center" vertical="justify"/>
    </xf>
    <xf numFmtId="0" fontId="1" fillId="0" borderId="10" xfId="0" applyFont="1" applyBorder="1" applyAlignment="1">
      <alignment horizontal="center" vertical="justify"/>
    </xf>
    <xf numFmtId="0" fontId="1" fillId="0" borderId="15" xfId="0" applyFont="1" applyBorder="1" applyAlignment="1">
      <alignment horizontal="center" vertical="justify"/>
    </xf>
    <xf numFmtId="0" fontId="14" fillId="0" borderId="11" xfId="0" applyFont="1" applyBorder="1" applyAlignment="1">
      <alignment horizontal="center" vertical="justify"/>
    </xf>
    <xf numFmtId="0" fontId="14" fillId="0" borderId="12" xfId="0" applyFont="1" applyBorder="1" applyAlignment="1">
      <alignment horizontal="center" vertical="justify"/>
    </xf>
    <xf numFmtId="0" fontId="14" fillId="0" borderId="13" xfId="0" applyFont="1" applyBorder="1" applyAlignment="1">
      <alignment horizontal="center" vertical="justify"/>
    </xf>
    <xf numFmtId="0" fontId="14" fillId="0" borderId="9" xfId="0" applyFont="1" applyBorder="1" applyAlignment="1">
      <alignment horizontal="center" vertical="justify"/>
    </xf>
    <xf numFmtId="0" fontId="14" fillId="0" borderId="0" xfId="0" applyFont="1" applyAlignment="1">
      <alignment horizontal="center" vertical="justify"/>
    </xf>
    <xf numFmtId="0" fontId="14" fillId="0" borderId="8" xfId="0" applyFont="1" applyBorder="1" applyAlignment="1">
      <alignment horizontal="center" vertical="justify"/>
    </xf>
    <xf numFmtId="0" fontId="14" fillId="0" borderId="14" xfId="0" applyFont="1" applyBorder="1" applyAlignment="1">
      <alignment horizontal="center" vertical="justify"/>
    </xf>
    <xf numFmtId="0" fontId="14" fillId="0" borderId="10" xfId="0" applyFont="1" applyBorder="1" applyAlignment="1">
      <alignment horizontal="center" vertical="justify"/>
    </xf>
    <xf numFmtId="0" fontId="14" fillId="0" borderId="15" xfId="0" applyFont="1" applyBorder="1" applyAlignment="1">
      <alignment horizontal="center" vertical="justify"/>
    </xf>
    <xf numFmtId="0" fontId="15" fillId="19" borderId="16" xfId="0" applyFont="1" applyFill="1" applyBorder="1" applyAlignment="1">
      <alignment horizontal="center"/>
    </xf>
    <xf numFmtId="0" fontId="15" fillId="19" borderId="17" xfId="0" applyFont="1" applyFill="1" applyBorder="1" applyAlignment="1">
      <alignment horizontal="center"/>
    </xf>
    <xf numFmtId="0" fontId="19" fillId="0" borderId="11" xfId="0" applyFont="1" applyBorder="1" applyAlignment="1">
      <alignment horizontal="center" vertical="justify"/>
    </xf>
    <xf numFmtId="0" fontId="19" fillId="0" borderId="12" xfId="0" applyFont="1" applyBorder="1" applyAlignment="1">
      <alignment horizontal="center" vertical="justify"/>
    </xf>
    <xf numFmtId="0" fontId="19" fillId="0" borderId="13" xfId="0" applyFont="1" applyBorder="1" applyAlignment="1">
      <alignment horizontal="center" vertical="justify"/>
    </xf>
    <xf numFmtId="0" fontId="19" fillId="0" borderId="14" xfId="0" applyFont="1" applyBorder="1" applyAlignment="1">
      <alignment horizontal="center" vertical="justify"/>
    </xf>
    <xf numFmtId="0" fontId="19" fillId="0" borderId="10" xfId="0" applyFont="1" applyBorder="1" applyAlignment="1">
      <alignment horizontal="center" vertical="justify"/>
    </xf>
    <xf numFmtId="0" fontId="19" fillId="0" borderId="15" xfId="0" applyFont="1" applyBorder="1" applyAlignment="1">
      <alignment horizontal="center" vertical="justify"/>
    </xf>
  </cellXfs>
  <cellStyles count="2">
    <cellStyle name="Hyperlink" xfId="1" builtinId="8"/>
    <cellStyle name="Normal" xfId="0" builtinId="0"/>
  </cellStyles>
  <dxfs count="2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D6F0"/>
      <color rgb="FFFF85FF"/>
      <color rgb="FFFF8AD8"/>
      <color rgb="FFFFB6E9"/>
      <color rgb="FFF2FFB7"/>
      <color rgb="FFA4FFF1"/>
      <color rgb="FFFBA3FF"/>
      <color rgb="FF44FFC1"/>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254000</xdr:colOff>
      <xdr:row>0</xdr:row>
      <xdr:rowOff>101600</xdr:rowOff>
    </xdr:from>
    <xdr:to>
      <xdr:col>2</xdr:col>
      <xdr:colOff>1168400</xdr:colOff>
      <xdr:row>4</xdr:row>
      <xdr:rowOff>0</xdr:rowOff>
    </xdr:to>
    <xdr:pic>
      <xdr:nvPicPr>
        <xdr:cNvPr id="5" name="Graphic 4" descr="Footprints">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489200" y="101600"/>
          <a:ext cx="914400" cy="914400"/>
        </a:xfrm>
        <a:prstGeom prst="rect">
          <a:avLst/>
        </a:prstGeom>
      </xdr:spPr>
    </xdr:pic>
    <xdr:clientData/>
  </xdr:twoCellAnchor>
  <xdr:twoCellAnchor editAs="oneCell">
    <xdr:from>
      <xdr:col>4</xdr:col>
      <xdr:colOff>749300</xdr:colOff>
      <xdr:row>7</xdr:row>
      <xdr:rowOff>50800</xdr:rowOff>
    </xdr:from>
    <xdr:to>
      <xdr:col>5</xdr:col>
      <xdr:colOff>139700</xdr:colOff>
      <xdr:row>10</xdr:row>
      <xdr:rowOff>203200</xdr:rowOff>
    </xdr:to>
    <xdr:pic>
      <xdr:nvPicPr>
        <xdr:cNvPr id="7" name="Graphic 6" descr="Footprints">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984500" y="1828800"/>
          <a:ext cx="914400" cy="914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37</xdr:col>
          <xdr:colOff>25400</xdr:colOff>
          <xdr:row>43</xdr:row>
          <xdr:rowOff>241300</xdr:rowOff>
        </xdr:from>
        <xdr:to>
          <xdr:col>38</xdr:col>
          <xdr:colOff>723900</xdr:colOff>
          <xdr:row>45</xdr:row>
          <xdr:rowOff>114300</xdr:rowOff>
        </xdr:to>
        <xdr:sp macro="" textlink="">
          <xdr:nvSpPr>
            <xdr:cNvPr id="11265" name="Button 1" descr="Generate Report&#10;"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Times Roman" charset="0"/>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635000</xdr:colOff>
          <xdr:row>44</xdr:row>
          <xdr:rowOff>0</xdr:rowOff>
        </xdr:from>
        <xdr:to>
          <xdr:col>41</xdr:col>
          <xdr:colOff>457200</xdr:colOff>
          <xdr:row>45</xdr:row>
          <xdr:rowOff>88900</xdr:rowOff>
        </xdr:to>
        <xdr:sp macro="" textlink="">
          <xdr:nvSpPr>
            <xdr:cNvPr id="11267" name="Button 3" descr="Generate Report&#10;" hidden="1">
              <a:extLst>
                <a:ext uri="{63B3BB69-23CF-44E3-9099-C40C66FF867C}">
                  <a14:compatExt spid="_x0000_s11267"/>
                </a:ext>
                <a:ext uri="{FF2B5EF4-FFF2-40B4-BE49-F238E27FC236}">
                  <a16:creationId xmlns:a16="http://schemas.microsoft.com/office/drawing/2014/main" id="{00000000-0008-0000-06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Times Roman" charset="0"/>
                </a:rPr>
                <a:t>Remove </a:t>
              </a:r>
            </a:p>
            <a:p>
              <a:pPr algn="ctr" rtl="0">
                <a:defRPr sz="1000"/>
              </a:pPr>
              <a:r>
                <a:rPr lang="en-US" sz="1400" b="0" i="0" u="none" strike="noStrike" baseline="0">
                  <a:solidFill>
                    <a:srgbClr val="000000"/>
                  </a:solidFill>
                  <a:latin typeface="Times Roman" charset="0"/>
                </a:rPr>
                <a:t>Report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178796</xdr:colOff>
      <xdr:row>31</xdr:row>
      <xdr:rowOff>37602</xdr:rowOff>
    </xdr:from>
    <xdr:to>
      <xdr:col>6</xdr:col>
      <xdr:colOff>410882</xdr:colOff>
      <xdr:row>32</xdr:row>
      <xdr:rowOff>186765</xdr:rowOff>
    </xdr:to>
    <xdr:sp macro="" textlink="">
      <xdr:nvSpPr>
        <xdr:cNvPr id="2" name="Up Arrow 1">
          <a:extLst>
            <a:ext uri="{FF2B5EF4-FFF2-40B4-BE49-F238E27FC236}">
              <a16:creationId xmlns:a16="http://schemas.microsoft.com/office/drawing/2014/main" id="{92CD36DF-F4C5-C145-9455-FEF678503434}"/>
            </a:ext>
          </a:extLst>
        </xdr:cNvPr>
        <xdr:cNvSpPr/>
      </xdr:nvSpPr>
      <xdr:spPr>
        <a:xfrm>
          <a:off x="3747496" y="7911602"/>
          <a:ext cx="232086" cy="403163"/>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266700</xdr:colOff>
      <xdr:row>18</xdr:row>
      <xdr:rowOff>12700</xdr:rowOff>
    </xdr:from>
    <xdr:to>
      <xdr:col>7</xdr:col>
      <xdr:colOff>498040</xdr:colOff>
      <xdr:row>18</xdr:row>
      <xdr:rowOff>211666</xdr:rowOff>
    </xdr:to>
    <xdr:sp macro="" textlink="">
      <xdr:nvSpPr>
        <xdr:cNvPr id="3" name="Down Arrow 2">
          <a:extLst>
            <a:ext uri="{FF2B5EF4-FFF2-40B4-BE49-F238E27FC236}">
              <a16:creationId xmlns:a16="http://schemas.microsoft.com/office/drawing/2014/main" id="{04E1D5A7-4F28-1049-AFC5-DAAE4F740023}"/>
            </a:ext>
          </a:extLst>
        </xdr:cNvPr>
        <xdr:cNvSpPr/>
      </xdr:nvSpPr>
      <xdr:spPr>
        <a:xfrm>
          <a:off x="4622800" y="4584700"/>
          <a:ext cx="231340" cy="19896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8537D-1570-A744-A1A5-DC2D35C2C51F}">
  <sheetPr codeName="Sheet9"/>
  <dimension ref="A1:S40"/>
  <sheetViews>
    <sheetView tabSelected="1" workbookViewId="0">
      <selection activeCell="D12" sqref="D12"/>
    </sheetView>
  </sheetViews>
  <sheetFormatPr baseColWidth="10" defaultRowHeight="20" customHeight="1"/>
  <cols>
    <col min="1" max="1" width="23.33203125" style="1" customWidth="1"/>
    <col min="2" max="2" width="10.83203125" style="22" customWidth="1"/>
    <col min="3" max="3" width="21.5" style="1" customWidth="1"/>
    <col min="4" max="4" width="31.5" style="1" customWidth="1"/>
    <col min="5" max="5" width="20" style="1" customWidth="1"/>
    <col min="6" max="6" width="11.33203125" style="1" customWidth="1"/>
    <col min="7" max="19" width="10.83203125" style="1" customWidth="1"/>
    <col min="20" max="16384" width="10.83203125" style="1"/>
  </cols>
  <sheetData>
    <row r="1" spans="1:19" ht="20" customHeight="1">
      <c r="A1" s="18" t="s">
        <v>0</v>
      </c>
      <c r="B1" s="24" t="s">
        <v>12</v>
      </c>
      <c r="C1" s="13"/>
      <c r="D1" s="13"/>
      <c r="E1" s="10" t="s">
        <v>1</v>
      </c>
      <c r="F1" s="8" t="s">
        <v>16</v>
      </c>
      <c r="G1" s="2"/>
      <c r="H1" s="2"/>
      <c r="I1" s="2"/>
      <c r="J1" s="2"/>
      <c r="K1" s="2"/>
      <c r="L1" s="2"/>
      <c r="M1" s="2"/>
      <c r="N1" s="2"/>
      <c r="O1" s="2"/>
      <c r="P1" s="2"/>
      <c r="Q1" s="2"/>
      <c r="R1" s="2"/>
      <c r="S1" s="2"/>
    </row>
    <row r="2" spans="1:19" ht="20" customHeight="1">
      <c r="A2" s="23"/>
      <c r="B2" s="20">
        <v>1</v>
      </c>
      <c r="C2" s="2"/>
      <c r="D2" s="2"/>
      <c r="E2" s="4" t="s">
        <v>2</v>
      </c>
      <c r="F2" s="5"/>
      <c r="G2" s="2"/>
      <c r="H2" s="2"/>
      <c r="I2" s="2"/>
      <c r="J2" s="2"/>
      <c r="K2" s="2"/>
      <c r="L2" s="2"/>
      <c r="M2" s="2"/>
      <c r="N2" s="2"/>
      <c r="O2" s="2"/>
      <c r="P2" s="2"/>
      <c r="Q2" s="2"/>
      <c r="R2" s="2"/>
      <c r="S2" s="2"/>
    </row>
    <row r="3" spans="1:19" ht="20" customHeight="1">
      <c r="A3" s="23"/>
      <c r="B3" s="20">
        <v>2</v>
      </c>
      <c r="C3" s="2"/>
      <c r="D3" s="2"/>
      <c r="E3" s="4" t="s">
        <v>5</v>
      </c>
      <c r="F3" s="5"/>
      <c r="G3" s="2"/>
      <c r="H3" s="2"/>
      <c r="I3" s="2"/>
      <c r="J3" s="2"/>
      <c r="K3" s="2"/>
      <c r="L3" s="2"/>
      <c r="M3" s="2"/>
      <c r="N3" s="2"/>
      <c r="O3" s="2"/>
      <c r="P3" s="2"/>
      <c r="Q3" s="2"/>
      <c r="R3" s="2"/>
      <c r="S3" s="2"/>
    </row>
    <row r="4" spans="1:19" ht="20" customHeight="1" thickBot="1">
      <c r="A4" s="15"/>
      <c r="B4" s="21">
        <v>3</v>
      </c>
      <c r="C4" s="3"/>
      <c r="D4" s="3"/>
      <c r="E4" s="4" t="s">
        <v>6</v>
      </c>
      <c r="F4" s="5"/>
      <c r="G4" s="2"/>
      <c r="H4" s="2"/>
      <c r="I4" s="2"/>
      <c r="J4" s="2"/>
      <c r="K4" s="2"/>
      <c r="L4" s="2"/>
      <c r="M4" s="2"/>
      <c r="N4" s="2"/>
      <c r="O4" s="2"/>
      <c r="P4" s="2"/>
      <c r="Q4" s="2"/>
      <c r="R4" s="2"/>
      <c r="S4" s="2"/>
    </row>
    <row r="5" spans="1:19" ht="20" customHeight="1">
      <c r="A5" s="23"/>
      <c r="B5" s="20">
        <v>4</v>
      </c>
      <c r="C5" s="73" t="s">
        <v>9</v>
      </c>
      <c r="D5" s="3"/>
      <c r="E5" s="4" t="s">
        <v>7</v>
      </c>
      <c r="F5" s="5"/>
      <c r="G5" s="2"/>
      <c r="H5" s="2"/>
      <c r="I5" s="2"/>
      <c r="J5" s="2"/>
      <c r="K5" s="2"/>
      <c r="L5" s="2"/>
      <c r="M5" s="2"/>
      <c r="N5" s="2"/>
      <c r="O5" s="2"/>
      <c r="P5" s="2"/>
      <c r="Q5" s="2"/>
      <c r="R5" s="2"/>
      <c r="S5" s="2"/>
    </row>
    <row r="6" spans="1:19" ht="20" customHeight="1" thickBot="1">
      <c r="A6" s="23"/>
      <c r="B6" s="20">
        <v>5</v>
      </c>
      <c r="C6" s="74"/>
      <c r="D6" s="3"/>
      <c r="E6" s="4" t="s">
        <v>3</v>
      </c>
      <c r="F6" s="5"/>
      <c r="G6" s="2"/>
      <c r="H6" s="2"/>
      <c r="I6" s="9"/>
      <c r="J6" s="9"/>
      <c r="K6" s="9"/>
      <c r="L6" s="9"/>
      <c r="M6" s="9"/>
      <c r="N6" s="2"/>
      <c r="O6" s="2"/>
      <c r="P6" s="2"/>
      <c r="Q6" s="2"/>
      <c r="R6" s="2"/>
      <c r="S6" s="2"/>
    </row>
    <row r="7" spans="1:19" ht="20" customHeight="1" thickBot="1">
      <c r="A7" s="23"/>
      <c r="B7" s="21">
        <v>6</v>
      </c>
      <c r="C7" s="3"/>
      <c r="D7" s="3"/>
      <c r="E7" s="6" t="s">
        <v>4</v>
      </c>
      <c r="F7" s="7"/>
      <c r="G7" s="2"/>
      <c r="H7" s="2"/>
      <c r="I7" s="9"/>
      <c r="J7" s="9"/>
      <c r="K7" s="9"/>
      <c r="L7" s="9"/>
      <c r="M7" s="9"/>
      <c r="N7" s="2"/>
      <c r="O7" s="2"/>
      <c r="P7" s="2"/>
      <c r="Q7" s="2"/>
      <c r="R7" s="2"/>
      <c r="S7" s="2"/>
    </row>
    <row r="8" spans="1:19" ht="20" customHeight="1">
      <c r="A8" s="23"/>
      <c r="B8" s="20">
        <v>7</v>
      </c>
      <c r="C8" s="3"/>
      <c r="D8" s="3"/>
      <c r="E8" s="2"/>
      <c r="F8" s="2"/>
      <c r="G8" s="2"/>
      <c r="H8" s="2"/>
      <c r="I8" s="2"/>
      <c r="J8" s="2"/>
      <c r="K8" s="2"/>
      <c r="L8" s="2"/>
      <c r="M8" s="2"/>
      <c r="N8" s="2"/>
      <c r="O8" s="2"/>
      <c r="P8" s="2"/>
      <c r="Q8" s="2"/>
      <c r="R8" s="2"/>
      <c r="S8" s="2"/>
    </row>
    <row r="9" spans="1:19" ht="20" customHeight="1">
      <c r="A9" s="23"/>
      <c r="B9" s="20">
        <v>8</v>
      </c>
      <c r="C9" s="3"/>
      <c r="D9" s="3"/>
      <c r="E9" s="2"/>
      <c r="F9" s="2"/>
      <c r="G9" s="2"/>
      <c r="H9" s="2"/>
      <c r="I9" s="2"/>
      <c r="J9" s="2"/>
      <c r="K9" s="2"/>
      <c r="L9" s="2"/>
      <c r="M9" s="2"/>
      <c r="N9" s="2"/>
      <c r="O9" s="2"/>
      <c r="P9" s="2"/>
      <c r="Q9" s="2"/>
      <c r="R9" s="2"/>
      <c r="S9" s="2"/>
    </row>
    <row r="10" spans="1:19" ht="20" customHeight="1">
      <c r="A10" s="23"/>
      <c r="B10" s="21">
        <v>9</v>
      </c>
      <c r="C10" s="3"/>
      <c r="D10" s="3"/>
      <c r="E10" s="2"/>
      <c r="F10" s="2"/>
      <c r="G10" s="2"/>
      <c r="H10" s="2"/>
      <c r="I10" s="2"/>
      <c r="J10" s="2"/>
      <c r="K10" s="2"/>
      <c r="L10" s="2"/>
      <c r="M10" s="2"/>
      <c r="N10" s="2"/>
      <c r="O10" s="2"/>
      <c r="P10" s="2"/>
      <c r="Q10" s="2"/>
      <c r="R10" s="2"/>
      <c r="S10" s="2"/>
    </row>
    <row r="11" spans="1:19" ht="20" customHeight="1" thickBot="1">
      <c r="A11" s="23"/>
      <c r="B11" s="20">
        <v>10</v>
      </c>
      <c r="C11" s="3"/>
      <c r="D11" s="3"/>
      <c r="E11" s="2"/>
      <c r="F11" s="2"/>
      <c r="G11" s="2"/>
      <c r="H11" s="2"/>
      <c r="I11" s="2"/>
      <c r="J11" s="2"/>
      <c r="K11" s="2"/>
      <c r="L11" s="14"/>
      <c r="M11" s="14"/>
      <c r="N11" s="2"/>
      <c r="O11" s="2"/>
      <c r="P11" s="2"/>
      <c r="Q11" s="2"/>
      <c r="R11" s="2"/>
      <c r="S11" s="2"/>
    </row>
    <row r="12" spans="1:19" ht="20" customHeight="1">
      <c r="A12" s="23"/>
      <c r="B12" s="20">
        <v>11</v>
      </c>
      <c r="C12" s="3"/>
      <c r="D12" s="3"/>
      <c r="E12" s="69" t="s">
        <v>8</v>
      </c>
      <c r="F12" s="70"/>
      <c r="G12" s="2"/>
      <c r="H12" s="2"/>
      <c r="I12" s="2"/>
      <c r="J12" s="2"/>
      <c r="K12" s="2"/>
      <c r="L12" s="14"/>
      <c r="M12" s="14"/>
      <c r="N12" s="2"/>
      <c r="O12" s="2"/>
      <c r="P12" s="2"/>
      <c r="Q12" s="2"/>
      <c r="R12" s="2"/>
      <c r="S12" s="2"/>
    </row>
    <row r="13" spans="1:19" ht="20" customHeight="1" thickBot="1">
      <c r="A13" s="15"/>
      <c r="B13" s="21">
        <v>12</v>
      </c>
      <c r="C13" s="3"/>
      <c r="D13" s="3"/>
      <c r="E13" s="71"/>
      <c r="F13" s="72"/>
      <c r="G13" s="2"/>
      <c r="H13" s="2"/>
      <c r="I13" s="2"/>
      <c r="J13" s="2"/>
      <c r="K13" s="2"/>
      <c r="L13" s="2"/>
      <c r="M13" s="2"/>
      <c r="N13" s="2"/>
      <c r="O13" s="2"/>
      <c r="P13" s="2"/>
      <c r="Q13" s="2"/>
      <c r="R13" s="2"/>
      <c r="S13" s="2"/>
    </row>
    <row r="14" spans="1:19" ht="20" customHeight="1">
      <c r="A14" s="15"/>
      <c r="B14" s="20">
        <v>13</v>
      </c>
      <c r="C14" s="3"/>
      <c r="D14" s="3"/>
      <c r="E14" s="2"/>
      <c r="F14" s="2"/>
      <c r="G14" s="2"/>
      <c r="H14" s="2"/>
      <c r="I14" s="2"/>
      <c r="J14" s="2"/>
      <c r="K14" s="2"/>
      <c r="L14" s="2"/>
      <c r="M14" s="2"/>
      <c r="N14" s="2"/>
      <c r="O14" s="2"/>
      <c r="P14" s="2"/>
      <c r="Q14" s="2"/>
      <c r="R14" s="2"/>
      <c r="S14" s="2"/>
    </row>
    <row r="15" spans="1:19" ht="20" customHeight="1">
      <c r="A15" s="23"/>
      <c r="B15" s="20">
        <v>14</v>
      </c>
      <c r="C15" s="3"/>
      <c r="D15" s="3"/>
      <c r="E15" s="2"/>
      <c r="F15" s="2"/>
      <c r="G15" s="2"/>
      <c r="H15" s="2"/>
      <c r="I15" s="2"/>
      <c r="J15" s="2"/>
      <c r="K15" s="2"/>
      <c r="L15" s="2"/>
      <c r="M15" s="2"/>
      <c r="N15" s="2"/>
      <c r="O15" s="2"/>
      <c r="P15" s="2"/>
      <c r="Q15" s="2"/>
      <c r="R15" s="2"/>
      <c r="S15" s="2"/>
    </row>
    <row r="16" spans="1:19" ht="20" customHeight="1">
      <c r="A16" s="23"/>
      <c r="B16" s="21">
        <v>15</v>
      </c>
      <c r="C16" s="3"/>
      <c r="D16" s="3"/>
      <c r="E16" s="2"/>
      <c r="F16" s="2"/>
      <c r="G16" s="2"/>
      <c r="H16" s="2"/>
      <c r="I16" s="2"/>
      <c r="J16" s="2"/>
      <c r="K16" s="2"/>
      <c r="L16" s="2"/>
      <c r="M16" s="2"/>
      <c r="N16" s="2"/>
      <c r="O16" s="2"/>
      <c r="P16" s="2"/>
      <c r="Q16" s="2"/>
      <c r="R16" s="2"/>
      <c r="S16" s="2"/>
    </row>
    <row r="17" spans="1:19" ht="20" customHeight="1">
      <c r="A17" s="23"/>
      <c r="B17" s="20">
        <v>16</v>
      </c>
      <c r="C17" s="3"/>
      <c r="D17" s="3"/>
      <c r="E17" s="2"/>
      <c r="F17" s="2"/>
      <c r="G17" s="2"/>
      <c r="H17" s="2"/>
      <c r="I17" s="2"/>
      <c r="J17" s="2"/>
      <c r="K17" s="2"/>
      <c r="L17" s="2"/>
      <c r="M17" s="2"/>
      <c r="N17" s="2"/>
      <c r="O17" s="2"/>
      <c r="P17" s="2"/>
      <c r="Q17" s="2"/>
      <c r="R17" s="2"/>
      <c r="S17" s="2"/>
    </row>
    <row r="18" spans="1:19" ht="20" customHeight="1">
      <c r="A18" s="23"/>
      <c r="B18" s="20">
        <v>17</v>
      </c>
      <c r="C18" s="3"/>
      <c r="D18" s="3"/>
      <c r="E18" s="2"/>
      <c r="F18" s="2"/>
      <c r="G18" s="2"/>
      <c r="H18" s="2"/>
      <c r="I18" s="2"/>
      <c r="J18" s="2"/>
      <c r="K18" s="2"/>
      <c r="L18" s="2"/>
      <c r="M18" s="2"/>
      <c r="N18" s="2"/>
      <c r="O18" s="2"/>
      <c r="P18" s="2"/>
      <c r="Q18" s="2"/>
      <c r="R18" s="2"/>
      <c r="S18" s="2"/>
    </row>
    <row r="19" spans="1:19" ht="20" customHeight="1">
      <c r="A19" s="23"/>
      <c r="B19" s="21">
        <v>18</v>
      </c>
      <c r="C19" s="3"/>
      <c r="D19" s="3"/>
      <c r="E19" s="2"/>
      <c r="F19" s="2"/>
      <c r="G19" s="2"/>
      <c r="H19" s="2"/>
      <c r="I19" s="2"/>
      <c r="J19" s="2"/>
      <c r="K19" s="2"/>
      <c r="L19" s="2"/>
      <c r="M19" s="2"/>
      <c r="N19" s="2"/>
      <c r="O19" s="2"/>
      <c r="P19" s="2"/>
      <c r="Q19" s="2"/>
      <c r="R19" s="2"/>
      <c r="S19" s="2"/>
    </row>
    <row r="20" spans="1:19" ht="20" customHeight="1" thickBot="1">
      <c r="A20" s="23"/>
      <c r="B20" s="20">
        <v>19</v>
      </c>
      <c r="C20" s="3"/>
      <c r="D20" s="3"/>
      <c r="E20" s="2"/>
      <c r="F20" s="2"/>
      <c r="G20" s="2"/>
      <c r="H20" s="2"/>
      <c r="I20" s="2"/>
      <c r="J20" s="2"/>
      <c r="K20" s="2"/>
      <c r="L20" s="2"/>
      <c r="M20" s="2"/>
      <c r="N20" s="2"/>
      <c r="O20" s="2"/>
      <c r="P20" s="2"/>
      <c r="Q20" s="2"/>
      <c r="R20" s="2"/>
      <c r="S20" s="2"/>
    </row>
    <row r="21" spans="1:19" ht="20" customHeight="1">
      <c r="A21" s="23"/>
      <c r="B21" s="20">
        <v>20</v>
      </c>
      <c r="C21" s="3"/>
      <c r="D21" s="75" t="s">
        <v>11</v>
      </c>
      <c r="E21" s="76"/>
      <c r="F21" s="17"/>
      <c r="G21" s="16"/>
      <c r="H21" s="16"/>
      <c r="I21" s="16"/>
      <c r="J21" s="16"/>
      <c r="K21" s="2"/>
      <c r="L21" s="2"/>
      <c r="M21" s="2"/>
      <c r="N21" s="2"/>
      <c r="O21" s="2"/>
      <c r="P21" s="2"/>
      <c r="Q21" s="2"/>
      <c r="R21" s="2"/>
      <c r="S21" s="2"/>
    </row>
    <row r="22" spans="1:19" ht="20" customHeight="1">
      <c r="A22" s="23"/>
      <c r="B22" s="21">
        <v>21</v>
      </c>
      <c r="C22" s="3"/>
      <c r="D22" s="77"/>
      <c r="E22" s="78"/>
      <c r="F22" s="16"/>
      <c r="G22" s="16"/>
      <c r="H22" s="16"/>
      <c r="I22" s="16"/>
      <c r="J22" s="16"/>
      <c r="K22" s="2"/>
      <c r="L22" s="2"/>
      <c r="M22" s="2"/>
      <c r="N22" s="2"/>
      <c r="O22" s="2"/>
      <c r="P22" s="2"/>
      <c r="Q22" s="2"/>
      <c r="R22" s="2"/>
      <c r="S22" s="2"/>
    </row>
    <row r="23" spans="1:19" ht="20" customHeight="1" thickBot="1">
      <c r="A23" s="23"/>
      <c r="B23" s="20">
        <v>22</v>
      </c>
      <c r="C23" s="3"/>
      <c r="D23" s="79"/>
      <c r="E23" s="80"/>
      <c r="F23" s="16"/>
      <c r="G23" s="16"/>
      <c r="H23" s="16"/>
      <c r="I23" s="16"/>
      <c r="J23" s="16"/>
      <c r="K23" s="2"/>
      <c r="L23" s="2"/>
      <c r="M23" s="2"/>
      <c r="N23" s="2"/>
      <c r="O23" s="2"/>
      <c r="P23" s="2"/>
      <c r="Q23" s="2"/>
      <c r="R23" s="2"/>
      <c r="S23" s="2"/>
    </row>
    <row r="24" spans="1:19" ht="20" customHeight="1">
      <c r="A24" s="23"/>
      <c r="B24" s="20">
        <v>23</v>
      </c>
      <c r="C24" s="3"/>
      <c r="D24" s="3"/>
      <c r="E24" s="2"/>
      <c r="F24" s="2"/>
      <c r="G24" s="2"/>
      <c r="H24" s="2"/>
      <c r="I24" s="2"/>
      <c r="J24" s="2"/>
      <c r="K24" s="2"/>
      <c r="L24" s="2"/>
      <c r="M24" s="2"/>
      <c r="N24" s="2"/>
      <c r="O24" s="2"/>
      <c r="P24" s="2"/>
      <c r="Q24" s="2"/>
      <c r="R24" s="2"/>
      <c r="S24" s="2"/>
    </row>
    <row r="25" spans="1:19" ht="20" customHeight="1">
      <c r="A25" s="23"/>
      <c r="B25" s="21">
        <v>24</v>
      </c>
      <c r="C25" s="3"/>
      <c r="D25" s="3"/>
      <c r="E25" s="2"/>
      <c r="F25" s="2"/>
      <c r="G25" s="2"/>
      <c r="H25" s="2"/>
      <c r="I25" s="2"/>
      <c r="J25" s="2"/>
      <c r="K25" s="2"/>
      <c r="L25" s="2"/>
      <c r="M25" s="2"/>
      <c r="N25" s="2"/>
      <c r="O25" s="2"/>
      <c r="P25" s="2"/>
      <c r="Q25" s="2"/>
      <c r="R25" s="2"/>
      <c r="S25" s="2"/>
    </row>
    <row r="26" spans="1:19" ht="20" customHeight="1">
      <c r="A26" s="23"/>
      <c r="B26" s="20">
        <v>25</v>
      </c>
      <c r="C26" s="3"/>
      <c r="D26" s="3"/>
      <c r="E26" s="2"/>
      <c r="F26" s="2"/>
      <c r="G26" s="2"/>
      <c r="H26" s="2"/>
      <c r="I26" s="2"/>
      <c r="J26" s="2"/>
      <c r="K26" s="2"/>
      <c r="L26" s="2"/>
      <c r="M26" s="2"/>
      <c r="N26" s="2"/>
      <c r="O26" s="2"/>
      <c r="P26" s="2"/>
      <c r="Q26" s="2"/>
      <c r="R26" s="2"/>
      <c r="S26" s="2"/>
    </row>
    <row r="27" spans="1:19" ht="20" customHeight="1">
      <c r="A27" s="15"/>
      <c r="B27" s="20">
        <v>26</v>
      </c>
      <c r="C27" s="3"/>
      <c r="D27" s="3"/>
      <c r="E27" s="2"/>
      <c r="F27" s="2"/>
      <c r="G27" s="2"/>
      <c r="H27" s="2"/>
      <c r="I27" s="2"/>
      <c r="J27" s="2"/>
      <c r="K27" s="2"/>
      <c r="L27" s="2"/>
      <c r="M27" s="2"/>
      <c r="N27" s="2"/>
      <c r="O27" s="2"/>
      <c r="P27" s="2"/>
      <c r="Q27" s="2"/>
      <c r="R27" s="2"/>
      <c r="S27" s="2"/>
    </row>
    <row r="28" spans="1:19" ht="20" customHeight="1">
      <c r="A28" s="23"/>
      <c r="B28" s="21">
        <v>27</v>
      </c>
      <c r="C28" s="3"/>
      <c r="D28" s="3"/>
      <c r="E28" s="2"/>
      <c r="F28" s="2"/>
      <c r="G28" s="2"/>
      <c r="H28" s="2"/>
      <c r="I28" s="2"/>
      <c r="J28" s="2"/>
      <c r="K28" s="2"/>
      <c r="L28" s="2"/>
      <c r="M28" s="2"/>
      <c r="N28" s="2"/>
      <c r="O28" s="2"/>
      <c r="P28" s="2"/>
      <c r="Q28" s="2"/>
      <c r="R28" s="2"/>
      <c r="S28" s="2"/>
    </row>
    <row r="29" spans="1:19" ht="20" customHeight="1">
      <c r="A29" s="23"/>
      <c r="B29" s="20">
        <v>28</v>
      </c>
      <c r="C29" s="3"/>
      <c r="D29" s="3"/>
      <c r="E29" s="2"/>
      <c r="F29" s="2"/>
      <c r="G29" s="2"/>
      <c r="H29" s="2"/>
      <c r="I29" s="2"/>
      <c r="J29" s="2"/>
      <c r="K29" s="2"/>
      <c r="L29" s="2"/>
      <c r="M29" s="2"/>
      <c r="N29" s="2"/>
      <c r="O29" s="2"/>
      <c r="P29" s="2"/>
      <c r="Q29" s="2"/>
      <c r="R29" s="2"/>
      <c r="S29" s="2"/>
    </row>
    <row r="30" spans="1:19" ht="20" customHeight="1">
      <c r="A30" s="23"/>
      <c r="B30" s="20">
        <v>29</v>
      </c>
      <c r="C30" s="3"/>
      <c r="D30" s="3"/>
      <c r="E30" s="2"/>
      <c r="F30" s="2"/>
      <c r="G30" s="2"/>
      <c r="H30" s="2"/>
      <c r="I30" s="2"/>
      <c r="J30" s="2"/>
      <c r="K30" s="2"/>
      <c r="L30" s="2"/>
      <c r="M30" s="2"/>
      <c r="N30" s="2"/>
      <c r="O30" s="2"/>
      <c r="P30" s="2"/>
      <c r="Q30" s="2"/>
      <c r="R30" s="2"/>
      <c r="S30" s="2"/>
    </row>
    <row r="31" spans="1:19" ht="20" customHeight="1">
      <c r="A31" s="23"/>
      <c r="B31" s="20">
        <v>30</v>
      </c>
      <c r="C31" s="3"/>
      <c r="D31" s="3"/>
      <c r="E31" s="2"/>
      <c r="F31" s="2"/>
      <c r="G31" s="2"/>
      <c r="H31" s="2"/>
      <c r="I31" s="2"/>
      <c r="J31" s="2"/>
      <c r="K31" s="2"/>
      <c r="L31" s="2"/>
      <c r="M31" s="2"/>
      <c r="N31" s="2"/>
      <c r="O31" s="2"/>
      <c r="P31" s="2"/>
      <c r="Q31" s="2"/>
      <c r="R31" s="2"/>
      <c r="S31" s="2"/>
    </row>
    <row r="32" spans="1:19" ht="20" customHeight="1">
      <c r="A32" s="2"/>
      <c r="B32" s="20">
        <v>31</v>
      </c>
      <c r="C32" s="2"/>
      <c r="D32" s="2"/>
      <c r="E32" s="2"/>
      <c r="F32" s="2"/>
      <c r="G32" s="2"/>
      <c r="H32" s="2"/>
      <c r="I32" s="2"/>
      <c r="J32" s="2"/>
      <c r="K32" s="2"/>
      <c r="L32" s="2"/>
      <c r="M32" s="2"/>
      <c r="N32" s="2"/>
      <c r="O32" s="2"/>
      <c r="P32" s="2"/>
      <c r="Q32" s="2"/>
      <c r="R32" s="2"/>
      <c r="S32" s="2"/>
    </row>
    <row r="33" spans="1:19" ht="20" customHeight="1">
      <c r="A33" s="2"/>
      <c r="B33" s="21">
        <v>32</v>
      </c>
      <c r="C33" s="2"/>
      <c r="D33" s="2"/>
      <c r="E33" s="2"/>
      <c r="F33" s="2"/>
      <c r="G33" s="2"/>
      <c r="H33" s="2"/>
      <c r="I33" s="2"/>
      <c r="J33" s="2"/>
      <c r="K33" s="2"/>
      <c r="L33" s="2"/>
      <c r="M33" s="2"/>
      <c r="N33" s="2"/>
      <c r="O33" s="2"/>
      <c r="P33" s="2"/>
      <c r="Q33" s="2"/>
      <c r="R33" s="2"/>
      <c r="S33" s="2"/>
    </row>
    <row r="34" spans="1:19" ht="20" customHeight="1">
      <c r="A34" s="2"/>
      <c r="B34" s="20">
        <v>33</v>
      </c>
      <c r="C34" s="2"/>
      <c r="D34" s="2"/>
      <c r="E34" s="2"/>
      <c r="F34" s="2"/>
      <c r="G34" s="2"/>
      <c r="H34" s="2"/>
      <c r="I34" s="2"/>
      <c r="J34" s="2"/>
      <c r="K34" s="2"/>
      <c r="L34" s="2"/>
      <c r="M34" s="2"/>
      <c r="N34" s="2"/>
      <c r="O34" s="2"/>
      <c r="P34" s="2"/>
      <c r="Q34" s="2"/>
      <c r="R34" s="2"/>
      <c r="S34" s="2"/>
    </row>
    <row r="35" spans="1:19" ht="20" customHeight="1">
      <c r="A35" s="2"/>
      <c r="B35" s="20">
        <v>34</v>
      </c>
      <c r="C35" s="2"/>
      <c r="D35" s="2"/>
      <c r="E35" s="2"/>
      <c r="F35" s="2"/>
      <c r="G35" s="2"/>
      <c r="H35" s="2"/>
      <c r="I35" s="2"/>
      <c r="J35" s="2"/>
      <c r="K35" s="2"/>
      <c r="L35" s="2"/>
      <c r="M35" s="2"/>
      <c r="N35" s="2"/>
      <c r="O35" s="2"/>
      <c r="P35" s="2"/>
      <c r="Q35" s="2"/>
      <c r="R35" s="2"/>
      <c r="S35" s="2"/>
    </row>
    <row r="36" spans="1:19" ht="20" customHeight="1">
      <c r="A36" s="2"/>
      <c r="B36" s="21">
        <v>35</v>
      </c>
      <c r="C36" s="2"/>
      <c r="D36" s="2"/>
      <c r="E36" s="2"/>
      <c r="F36" s="2"/>
      <c r="G36" s="2"/>
      <c r="H36" s="2"/>
      <c r="I36" s="2"/>
      <c r="J36" s="2"/>
      <c r="K36" s="2"/>
      <c r="L36" s="2"/>
      <c r="M36" s="2"/>
      <c r="N36" s="2"/>
      <c r="O36" s="2"/>
      <c r="P36" s="2"/>
      <c r="Q36" s="2"/>
      <c r="R36" s="2"/>
      <c r="S36" s="2"/>
    </row>
    <row r="37" spans="1:19" ht="20" customHeight="1">
      <c r="A37" s="2"/>
      <c r="B37" s="20">
        <v>36</v>
      </c>
      <c r="C37" s="2"/>
      <c r="D37" s="2"/>
      <c r="E37" s="2"/>
      <c r="F37" s="2"/>
      <c r="G37" s="2"/>
      <c r="H37" s="2"/>
      <c r="I37" s="2"/>
      <c r="J37" s="2"/>
      <c r="K37" s="2"/>
      <c r="L37" s="2"/>
      <c r="M37" s="2"/>
      <c r="N37" s="2"/>
      <c r="O37" s="2"/>
      <c r="P37" s="2"/>
      <c r="Q37" s="2"/>
      <c r="R37" s="2"/>
      <c r="S37" s="2"/>
    </row>
    <row r="38" spans="1:19" ht="20" customHeight="1">
      <c r="A38" s="2" t="s">
        <v>58</v>
      </c>
      <c r="B38" s="20">
        <v>37</v>
      </c>
      <c r="C38" s="2"/>
      <c r="D38" s="2"/>
      <c r="E38" s="2"/>
      <c r="F38" s="2"/>
      <c r="G38" s="2"/>
      <c r="H38" s="2"/>
      <c r="I38" s="2"/>
      <c r="J38" s="2"/>
      <c r="K38" s="2"/>
      <c r="L38" s="2"/>
      <c r="M38" s="2"/>
      <c r="N38" s="2"/>
      <c r="O38" s="2"/>
      <c r="P38" s="2"/>
      <c r="Q38" s="2"/>
      <c r="R38" s="2"/>
      <c r="S38" s="2"/>
    </row>
    <row r="39" spans="1:19" ht="20" customHeight="1">
      <c r="A39" s="2" t="s">
        <v>59</v>
      </c>
      <c r="B39" s="21">
        <v>38</v>
      </c>
      <c r="C39" s="2"/>
      <c r="D39" s="2"/>
      <c r="E39" s="2"/>
      <c r="F39" s="2"/>
      <c r="G39" s="2"/>
      <c r="H39" s="2"/>
      <c r="I39" s="2"/>
      <c r="J39" s="2"/>
      <c r="K39" s="2"/>
      <c r="L39" s="2"/>
      <c r="M39" s="2"/>
      <c r="N39" s="2"/>
      <c r="O39" s="2"/>
      <c r="P39" s="2"/>
      <c r="Q39" s="2"/>
      <c r="R39" s="2"/>
      <c r="S39" s="2"/>
    </row>
    <row r="40" spans="1:19" ht="20" customHeight="1">
      <c r="A40" s="2"/>
      <c r="B40" s="20"/>
      <c r="C40" s="2"/>
      <c r="D40" s="2"/>
      <c r="E40" s="2"/>
      <c r="F40" s="2"/>
      <c r="G40" s="2"/>
      <c r="H40" s="2"/>
      <c r="I40" s="2"/>
      <c r="J40" s="2"/>
      <c r="K40" s="2"/>
      <c r="L40" s="2"/>
      <c r="M40" s="2"/>
      <c r="N40" s="2"/>
      <c r="O40" s="2"/>
      <c r="P40" s="2"/>
      <c r="Q40" s="2"/>
      <c r="R40" s="2"/>
      <c r="S40" s="2"/>
    </row>
  </sheetData>
  <mergeCells count="3">
    <mergeCell ref="E12:F13"/>
    <mergeCell ref="C5:C6"/>
    <mergeCell ref="D21:E23"/>
  </mergeCells>
  <pageMargins left="0.7" right="0.7" top="0.75" bottom="0.75" header="0.3" footer="0.3"/>
  <pageSetup paperSize="9" orientation="landscape"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BAF01-E9FB-7D4B-B5E4-89484464F0B0}">
  <sheetPr codeName="Sheet4"/>
  <dimension ref="A1:R37"/>
  <sheetViews>
    <sheetView zoomScale="101" workbookViewId="0">
      <selection activeCell="S24" sqref="S24"/>
    </sheetView>
  </sheetViews>
  <sheetFormatPr baseColWidth="10" defaultRowHeight="16"/>
  <cols>
    <col min="1" max="1" width="5.83203125" style="63" customWidth="1"/>
    <col min="2" max="2" width="23.5" style="63" customWidth="1"/>
    <col min="3" max="3" width="6.6640625" style="63" customWidth="1"/>
    <col min="4" max="5" width="6.5" style="63" customWidth="1"/>
    <col min="6" max="6" width="6.1640625" style="63" customWidth="1"/>
    <col min="7" max="7" width="6.33203125" style="63" customWidth="1"/>
    <col min="8" max="8" width="5.83203125" style="63" customWidth="1"/>
    <col min="9" max="9" width="6" style="63" customWidth="1"/>
    <col min="10" max="10" width="6.5" style="63" customWidth="1"/>
    <col min="11" max="18" width="7.33203125" style="63" customWidth="1"/>
    <col min="19" max="16384" width="10.83203125" style="63"/>
  </cols>
  <sheetData>
    <row r="1" spans="1:18">
      <c r="A1" s="62"/>
      <c r="B1" s="62" t="s">
        <v>0</v>
      </c>
      <c r="C1" s="62"/>
      <c r="D1" s="62"/>
      <c r="E1" s="62"/>
      <c r="F1" s="62"/>
      <c r="G1" s="62"/>
      <c r="H1" s="62"/>
      <c r="I1" s="62"/>
      <c r="J1" s="62"/>
    </row>
    <row r="2" spans="1:18">
      <c r="A2" s="62">
        <v>1</v>
      </c>
      <c r="B2" s="62" t="str">
        <f>IF(ISTEXT(Home!A2), Home!A2, "")</f>
        <v/>
      </c>
      <c r="C2" s="62"/>
      <c r="D2" s="62"/>
      <c r="E2" s="62"/>
      <c r="F2" s="62"/>
      <c r="G2" s="62"/>
      <c r="H2" s="62"/>
      <c r="I2" s="62"/>
      <c r="J2" s="62"/>
    </row>
    <row r="3" spans="1:18" ht="19">
      <c r="A3" s="62">
        <v>2</v>
      </c>
      <c r="B3" s="62" t="str">
        <f>IF(ISTEXT(Home!A3), Home!A3, "")</f>
        <v/>
      </c>
      <c r="C3" s="66"/>
      <c r="D3" s="66"/>
      <c r="E3" s="66"/>
      <c r="F3" s="66"/>
      <c r="G3" s="66"/>
      <c r="H3" s="66"/>
      <c r="I3" s="62"/>
      <c r="J3" s="62"/>
    </row>
    <row r="4" spans="1:18" ht="19">
      <c r="A4" s="62">
        <v>3</v>
      </c>
      <c r="B4" s="62" t="str">
        <f>IF(ISTEXT(Home!A4), Home!A4, "")</f>
        <v/>
      </c>
      <c r="C4" s="67"/>
      <c r="D4" s="66"/>
      <c r="E4" s="66"/>
      <c r="F4" s="66"/>
      <c r="G4" s="66"/>
      <c r="H4" s="66"/>
      <c r="I4" s="66"/>
      <c r="J4" s="62"/>
    </row>
    <row r="5" spans="1:18" ht="19">
      <c r="A5" s="62">
        <v>4</v>
      </c>
      <c r="B5" s="62" t="str">
        <f>IF(ISTEXT(Home!A5), Home!A5, "")</f>
        <v/>
      </c>
      <c r="C5" s="67"/>
      <c r="D5" s="66"/>
      <c r="E5" s="66"/>
      <c r="F5" s="66"/>
      <c r="G5" s="66"/>
      <c r="H5" s="66"/>
      <c r="I5" s="66"/>
      <c r="J5" s="62"/>
    </row>
    <row r="6" spans="1:18" ht="18" customHeight="1">
      <c r="A6" s="62">
        <v>5</v>
      </c>
      <c r="B6" s="62" t="str">
        <f>IF(ISTEXT(Home!A6), Home!A6, "")</f>
        <v/>
      </c>
      <c r="C6" s="67"/>
      <c r="D6" s="66"/>
      <c r="E6" s="66"/>
      <c r="F6" s="66"/>
      <c r="G6" s="66"/>
      <c r="H6" s="66"/>
      <c r="I6" s="66"/>
      <c r="J6" s="62"/>
      <c r="Q6" s="68"/>
    </row>
    <row r="7" spans="1:18" ht="19">
      <c r="A7" s="62">
        <v>6</v>
      </c>
      <c r="B7" s="62" t="str">
        <f>IF(ISTEXT(Home!A7), Home!A7, "")</f>
        <v/>
      </c>
      <c r="C7" s="67"/>
      <c r="D7" s="66"/>
      <c r="E7" s="66"/>
      <c r="F7" s="66"/>
      <c r="G7" s="66"/>
      <c r="H7" s="66"/>
      <c r="I7" s="66"/>
      <c r="J7" s="62"/>
    </row>
    <row r="8" spans="1:18" ht="19">
      <c r="A8" s="62">
        <v>7</v>
      </c>
      <c r="B8" s="62" t="str">
        <f>IF(ISTEXT(Home!A8), Home!A8, "")</f>
        <v/>
      </c>
      <c r="C8" s="67"/>
      <c r="D8" s="66"/>
      <c r="E8" s="66"/>
      <c r="F8" s="66"/>
      <c r="G8" s="66"/>
      <c r="H8" s="66"/>
      <c r="I8" s="66"/>
      <c r="J8" s="62"/>
    </row>
    <row r="9" spans="1:18" ht="19">
      <c r="A9" s="62">
        <v>8</v>
      </c>
      <c r="B9" s="62" t="str">
        <f>IF(ISTEXT(Home!A9), Home!A9, "")</f>
        <v/>
      </c>
      <c r="C9" s="67"/>
      <c r="D9" s="66"/>
      <c r="E9" s="66"/>
      <c r="F9" s="66"/>
      <c r="G9" s="66"/>
      <c r="H9" s="66"/>
      <c r="I9" s="66"/>
      <c r="J9" s="62"/>
    </row>
    <row r="10" spans="1:18" ht="19">
      <c r="A10" s="62">
        <v>9</v>
      </c>
      <c r="B10" s="62" t="str">
        <f>IF(ISTEXT(Home!A10), Home!A10, "")</f>
        <v/>
      </c>
      <c r="C10" s="67"/>
      <c r="D10" s="66"/>
      <c r="E10" s="66"/>
      <c r="F10" s="66"/>
      <c r="G10" s="66"/>
      <c r="H10" s="66"/>
      <c r="I10" s="66"/>
      <c r="J10" s="62"/>
    </row>
    <row r="11" spans="1:18" ht="19">
      <c r="A11" s="62">
        <v>10</v>
      </c>
      <c r="B11" s="62" t="str">
        <f>IF(ISTEXT(Home!A11), Home!A11, "")</f>
        <v/>
      </c>
      <c r="C11" s="67"/>
      <c r="D11" s="66"/>
      <c r="E11" s="66"/>
      <c r="F11" s="66"/>
      <c r="G11" s="66"/>
      <c r="H11" s="66"/>
      <c r="I11" s="66"/>
      <c r="J11" s="62"/>
    </row>
    <row r="12" spans="1:18" ht="18" customHeight="1">
      <c r="A12" s="62">
        <v>11</v>
      </c>
      <c r="B12" s="62" t="str">
        <f>IF(ISTEXT(Home!A12), Home!A12, "")</f>
        <v/>
      </c>
      <c r="C12" s="67"/>
      <c r="D12" s="66"/>
      <c r="E12" s="66"/>
      <c r="F12" s="66"/>
      <c r="G12" s="66"/>
      <c r="H12" s="66"/>
      <c r="I12" s="66"/>
      <c r="J12" s="62"/>
    </row>
    <row r="13" spans="1:18" ht="19">
      <c r="A13" s="62">
        <v>12</v>
      </c>
      <c r="B13" s="62" t="str">
        <f>IF(ISTEXT(Home!A13), Home!A13, "")</f>
        <v/>
      </c>
      <c r="C13" s="67"/>
      <c r="D13" s="66"/>
      <c r="E13" s="66"/>
      <c r="F13" s="66"/>
      <c r="G13" s="66"/>
      <c r="H13" s="66"/>
      <c r="I13" s="66"/>
      <c r="J13" s="62"/>
    </row>
    <row r="14" spans="1:18" ht="19">
      <c r="A14" s="62">
        <v>13</v>
      </c>
      <c r="B14" s="62" t="str">
        <f>IF(ISTEXT(Home!A14), Home!A14, "")</f>
        <v/>
      </c>
      <c r="C14" s="67"/>
      <c r="D14" s="66"/>
      <c r="E14" s="66"/>
      <c r="F14" s="66"/>
      <c r="G14" s="66"/>
      <c r="H14" s="66"/>
      <c r="I14" s="66"/>
      <c r="J14" s="62"/>
    </row>
    <row r="15" spans="1:18" ht="19">
      <c r="A15" s="62">
        <v>14</v>
      </c>
      <c r="B15" s="62" t="str">
        <f>IF(ISTEXT(Home!A15), Home!A15, "")</f>
        <v/>
      </c>
      <c r="C15" s="67"/>
      <c r="D15" s="66"/>
      <c r="E15" s="66"/>
      <c r="F15" s="66"/>
      <c r="G15" s="66"/>
      <c r="H15" s="66"/>
      <c r="I15" s="66"/>
      <c r="J15" s="62"/>
      <c r="O15" s="81" t="s">
        <v>137</v>
      </c>
      <c r="P15" s="82"/>
      <c r="Q15" s="82"/>
      <c r="R15" s="82"/>
    </row>
    <row r="16" spans="1:18" ht="19">
      <c r="A16" s="62">
        <v>15</v>
      </c>
      <c r="B16" s="62" t="str">
        <f>IF(ISTEXT(Home!A16), Home!A16, "")</f>
        <v/>
      </c>
      <c r="C16" s="67"/>
      <c r="D16" s="66"/>
      <c r="E16" s="66"/>
      <c r="F16" s="66"/>
      <c r="G16" s="66"/>
      <c r="H16" s="66"/>
      <c r="I16" s="66"/>
      <c r="J16" s="62"/>
      <c r="O16" s="82"/>
      <c r="P16" s="82"/>
      <c r="Q16" s="82"/>
      <c r="R16" s="82"/>
    </row>
    <row r="17" spans="1:10" ht="19">
      <c r="A17" s="62">
        <v>16</v>
      </c>
      <c r="B17" s="62" t="str">
        <f>IF(ISTEXT(Home!A17), Home!A17, "")</f>
        <v/>
      </c>
      <c r="C17" s="67"/>
      <c r="D17" s="66"/>
      <c r="E17" s="66"/>
      <c r="F17" s="66"/>
      <c r="G17" s="66"/>
      <c r="H17" s="66"/>
      <c r="I17" s="66"/>
      <c r="J17" s="62"/>
    </row>
    <row r="18" spans="1:10" ht="19">
      <c r="A18" s="62">
        <v>17</v>
      </c>
      <c r="B18" s="62" t="str">
        <f>IF(ISTEXT(Home!A18), Home!A18, "")</f>
        <v/>
      </c>
      <c r="C18" s="67"/>
      <c r="D18" s="66"/>
      <c r="E18" s="66"/>
      <c r="F18" s="66"/>
      <c r="G18" s="66"/>
      <c r="H18" s="66"/>
      <c r="I18" s="66"/>
      <c r="J18" s="62"/>
    </row>
    <row r="19" spans="1:10" ht="19">
      <c r="A19" s="62">
        <v>18</v>
      </c>
      <c r="B19" s="62" t="str">
        <f>IF(ISTEXT(Home!A19), Home!A19, "")</f>
        <v/>
      </c>
      <c r="C19" s="67"/>
      <c r="D19" s="66"/>
      <c r="E19" s="66"/>
      <c r="F19" s="66"/>
      <c r="G19" s="66"/>
      <c r="H19" s="66"/>
      <c r="I19" s="66"/>
      <c r="J19" s="62"/>
    </row>
    <row r="20" spans="1:10" ht="19">
      <c r="A20" s="62">
        <v>19</v>
      </c>
      <c r="B20" s="62" t="str">
        <f>IF(ISTEXT(Home!A20), Home!A20, "")</f>
        <v/>
      </c>
      <c r="C20" s="67"/>
      <c r="D20" s="66"/>
      <c r="E20" s="66"/>
      <c r="F20" s="66"/>
      <c r="G20" s="66"/>
      <c r="H20" s="66"/>
      <c r="I20" s="66"/>
      <c r="J20" s="62"/>
    </row>
    <row r="21" spans="1:10" ht="19">
      <c r="A21" s="62">
        <v>20</v>
      </c>
      <c r="B21" s="62" t="str">
        <f>IF(ISTEXT(Home!A21), Home!A21, "")</f>
        <v/>
      </c>
      <c r="C21" s="67"/>
      <c r="D21" s="66"/>
      <c r="E21" s="66"/>
      <c r="F21" s="66"/>
      <c r="G21" s="66"/>
      <c r="H21" s="66"/>
      <c r="I21" s="66"/>
      <c r="J21" s="62"/>
    </row>
    <row r="22" spans="1:10" ht="19">
      <c r="A22" s="62">
        <v>21</v>
      </c>
      <c r="B22" s="62" t="str">
        <f>IF(ISTEXT(Home!A22), Home!A22, "")</f>
        <v/>
      </c>
      <c r="C22" s="67"/>
      <c r="D22" s="66"/>
      <c r="E22" s="66"/>
      <c r="F22" s="66"/>
      <c r="G22" s="66"/>
      <c r="H22" s="66"/>
      <c r="I22" s="66"/>
      <c r="J22" s="62"/>
    </row>
    <row r="23" spans="1:10" ht="19">
      <c r="A23" s="62">
        <v>22</v>
      </c>
      <c r="B23" s="62" t="str">
        <f>IF(ISTEXT(Home!A23), Home!A23, "")</f>
        <v/>
      </c>
      <c r="C23" s="67"/>
      <c r="D23" s="66"/>
      <c r="E23" s="66"/>
      <c r="F23" s="66"/>
      <c r="G23" s="66"/>
      <c r="H23" s="66"/>
      <c r="I23" s="66"/>
      <c r="J23" s="62"/>
    </row>
    <row r="24" spans="1:10" ht="19">
      <c r="A24" s="62">
        <v>23</v>
      </c>
      <c r="B24" s="62" t="str">
        <f>IF(ISTEXT(Home!A24), Home!A24, "")</f>
        <v/>
      </c>
      <c r="C24" s="67"/>
      <c r="D24" s="66"/>
      <c r="E24" s="66"/>
      <c r="F24" s="66"/>
      <c r="G24" s="66"/>
      <c r="H24" s="66"/>
      <c r="I24" s="66"/>
      <c r="J24" s="62"/>
    </row>
    <row r="25" spans="1:10" ht="19">
      <c r="A25" s="62">
        <v>24</v>
      </c>
      <c r="B25" s="62" t="str">
        <f>IF(ISTEXT(Home!A25), Home!A25, "")</f>
        <v/>
      </c>
      <c r="C25" s="67"/>
      <c r="D25" s="66"/>
      <c r="E25" s="66"/>
      <c r="F25" s="66"/>
      <c r="G25" s="66"/>
      <c r="H25" s="66"/>
      <c r="I25" s="66"/>
      <c r="J25" s="62"/>
    </row>
    <row r="26" spans="1:10" ht="19">
      <c r="A26" s="62">
        <v>25</v>
      </c>
      <c r="B26" s="62" t="str">
        <f>IF(ISTEXT(Home!A26), Home!A26, "")</f>
        <v/>
      </c>
      <c r="C26" s="67"/>
      <c r="D26" s="66"/>
      <c r="E26" s="66"/>
      <c r="F26" s="66"/>
      <c r="G26" s="66"/>
      <c r="H26" s="66"/>
      <c r="I26" s="66"/>
      <c r="J26" s="62"/>
    </row>
    <row r="27" spans="1:10" ht="19">
      <c r="A27" s="62">
        <v>26</v>
      </c>
      <c r="B27" s="62" t="str">
        <f>IF(ISTEXT(Home!A27), Home!A27, "")</f>
        <v/>
      </c>
      <c r="C27" s="67"/>
      <c r="D27" s="66"/>
      <c r="E27" s="66"/>
      <c r="F27" s="66"/>
      <c r="G27" s="66"/>
      <c r="H27" s="66"/>
      <c r="I27" s="66"/>
      <c r="J27" s="62"/>
    </row>
    <row r="28" spans="1:10" ht="19">
      <c r="A28" s="62">
        <v>27</v>
      </c>
      <c r="B28" s="62" t="str">
        <f>IF(ISTEXT(Home!A28), Home!A28, "")</f>
        <v/>
      </c>
      <c r="C28" s="67"/>
      <c r="D28" s="66"/>
      <c r="E28" s="66"/>
      <c r="F28" s="66"/>
      <c r="G28" s="66"/>
      <c r="H28" s="66"/>
      <c r="I28" s="66"/>
      <c r="J28" s="62"/>
    </row>
    <row r="29" spans="1:10" ht="19">
      <c r="A29" s="62">
        <v>28</v>
      </c>
      <c r="B29" s="62" t="str">
        <f>IF(ISTEXT(Home!A29), Home!A29, "")</f>
        <v/>
      </c>
      <c r="C29" s="67"/>
      <c r="D29" s="66"/>
      <c r="E29" s="66"/>
      <c r="F29" s="66"/>
      <c r="G29" s="66"/>
      <c r="H29" s="66"/>
      <c r="I29" s="66"/>
      <c r="J29" s="62"/>
    </row>
    <row r="30" spans="1:10">
      <c r="A30" s="62">
        <v>29</v>
      </c>
      <c r="B30" s="62" t="str">
        <f>IF(ISTEXT(Home!A30), Home!A30, "")</f>
        <v/>
      </c>
      <c r="C30" s="67"/>
      <c r="D30" s="62"/>
      <c r="E30" s="62"/>
      <c r="F30" s="62"/>
      <c r="G30" s="62"/>
      <c r="H30" s="62"/>
      <c r="I30" s="62"/>
      <c r="J30" s="62"/>
    </row>
    <row r="31" spans="1:10">
      <c r="A31" s="62">
        <v>30</v>
      </c>
      <c r="B31" s="62" t="str">
        <f>IF(ISTEXT(Home!A31), Home!A31, "")</f>
        <v/>
      </c>
      <c r="C31" s="62"/>
      <c r="D31" s="62"/>
      <c r="E31" s="62"/>
      <c r="F31" s="62"/>
      <c r="G31" s="62"/>
      <c r="H31" s="62"/>
      <c r="I31" s="62"/>
      <c r="J31" s="62"/>
    </row>
    <row r="32" spans="1:10">
      <c r="A32" s="62">
        <v>31</v>
      </c>
      <c r="B32" s="62" t="str">
        <f>IF(ISTEXT(Home!A32), Home!A32, "")</f>
        <v/>
      </c>
      <c r="C32" s="62"/>
      <c r="D32" s="62"/>
      <c r="E32" s="62"/>
      <c r="F32" s="62"/>
      <c r="G32" s="62"/>
      <c r="H32" s="62"/>
      <c r="I32" s="62"/>
      <c r="J32" s="62"/>
    </row>
    <row r="33" spans="1:10">
      <c r="A33" s="62">
        <v>32</v>
      </c>
      <c r="B33" s="62" t="str">
        <f>IF(ISTEXT(Home!A33), Home!A33, "")</f>
        <v/>
      </c>
      <c r="C33" s="62"/>
      <c r="D33" s="62"/>
      <c r="E33" s="62"/>
      <c r="F33" s="62"/>
      <c r="G33" s="62"/>
      <c r="H33" s="62"/>
      <c r="I33" s="62"/>
      <c r="J33" s="62"/>
    </row>
    <row r="34" spans="1:10">
      <c r="A34" s="62">
        <v>33</v>
      </c>
      <c r="B34" s="62" t="str">
        <f>IF(ISTEXT(Home!A34), Home!A34, "")</f>
        <v/>
      </c>
      <c r="C34" s="62"/>
      <c r="D34" s="62"/>
      <c r="E34" s="62"/>
      <c r="F34" s="62"/>
      <c r="G34" s="62"/>
      <c r="H34" s="62"/>
      <c r="I34" s="62"/>
      <c r="J34" s="62"/>
    </row>
    <row r="35" spans="1:10">
      <c r="A35" s="62">
        <v>34</v>
      </c>
      <c r="B35" s="62" t="str">
        <f>IF(ISTEXT(Home!A35), Home!A35, "")</f>
        <v/>
      </c>
      <c r="C35" s="62"/>
      <c r="D35" s="62"/>
      <c r="E35" s="62"/>
      <c r="F35" s="62"/>
      <c r="G35" s="62"/>
      <c r="H35" s="62"/>
      <c r="I35" s="62"/>
      <c r="J35" s="62"/>
    </row>
    <row r="36" spans="1:10">
      <c r="A36" s="62">
        <v>35</v>
      </c>
      <c r="B36" s="62" t="str">
        <f>IF(ISTEXT(Home!A36), Home!A36, "")</f>
        <v/>
      </c>
      <c r="C36" s="62"/>
      <c r="D36" s="62"/>
      <c r="E36" s="62"/>
      <c r="F36" s="62"/>
      <c r="G36" s="62"/>
      <c r="H36" s="62"/>
      <c r="I36" s="62"/>
      <c r="J36" s="62"/>
    </row>
    <row r="37" spans="1:10">
      <c r="A37" s="62">
        <v>36</v>
      </c>
      <c r="B37" s="62" t="str">
        <f>IF(ISTEXT(Home!A37), Home!A37, "")</f>
        <v/>
      </c>
      <c r="C37" s="62"/>
      <c r="D37" s="62"/>
      <c r="E37" s="62"/>
      <c r="F37" s="62"/>
      <c r="G37" s="62"/>
      <c r="H37" s="62"/>
      <c r="I37" s="62"/>
      <c r="J37" s="62"/>
    </row>
  </sheetData>
  <mergeCells count="1">
    <mergeCell ref="O15:R1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1DEE4-B6B3-F941-B98A-5F5DD40D4F03}">
  <sheetPr codeName="Sheet11"/>
  <dimension ref="A1:Q40"/>
  <sheetViews>
    <sheetView workbookViewId="0">
      <selection activeCell="A2" sqref="A2"/>
    </sheetView>
  </sheetViews>
  <sheetFormatPr baseColWidth="10" defaultRowHeight="16"/>
  <cols>
    <col min="1" max="16384" width="10.83203125" style="12"/>
  </cols>
  <sheetData>
    <row r="1" spans="1:17" ht="19">
      <c r="A1" s="31" t="s">
        <v>0</v>
      </c>
      <c r="B1" s="24" t="s">
        <v>12</v>
      </c>
      <c r="C1" s="11" t="s">
        <v>10</v>
      </c>
      <c r="D1" s="11"/>
      <c r="E1" s="11"/>
      <c r="F1" s="11"/>
      <c r="G1" s="11"/>
      <c r="H1" s="11"/>
      <c r="I1" s="11"/>
      <c r="J1" s="11"/>
      <c r="K1" s="11"/>
      <c r="L1" s="11"/>
      <c r="M1" s="11"/>
      <c r="N1" s="11"/>
      <c r="O1" s="11"/>
      <c r="P1" s="11"/>
      <c r="Q1" s="11"/>
    </row>
    <row r="2" spans="1:17" ht="19">
      <c r="A2" s="23" t="str">
        <f>IF(ISTEXT(Home!A2), Home!A2, "")</f>
        <v/>
      </c>
      <c r="B2" s="20">
        <v>1</v>
      </c>
      <c r="C2" s="11"/>
      <c r="D2" s="11"/>
      <c r="E2" s="11"/>
      <c r="F2" s="11"/>
      <c r="G2" s="11"/>
      <c r="H2" s="11"/>
      <c r="I2" s="11"/>
      <c r="J2" s="11"/>
      <c r="K2" s="11"/>
      <c r="L2" s="11"/>
      <c r="M2" s="11"/>
      <c r="N2" s="11"/>
      <c r="O2" s="11"/>
      <c r="P2" s="11"/>
      <c r="Q2" s="11"/>
    </row>
    <row r="3" spans="1:17" ht="19">
      <c r="A3" s="23" t="str">
        <f>IF(ISTEXT(Home!A3), Home!A3, "")</f>
        <v/>
      </c>
      <c r="B3" s="20">
        <v>2</v>
      </c>
      <c r="C3" s="11"/>
      <c r="D3" s="11"/>
      <c r="E3" s="11"/>
      <c r="F3" s="11"/>
      <c r="G3" s="11"/>
      <c r="H3" s="11"/>
      <c r="I3" s="11"/>
      <c r="J3" s="11"/>
      <c r="K3" s="11"/>
      <c r="L3" s="11"/>
      <c r="M3" s="11"/>
      <c r="N3" s="11"/>
      <c r="O3" s="11"/>
      <c r="P3" s="11"/>
      <c r="Q3" s="11"/>
    </row>
    <row r="4" spans="1:17" ht="19">
      <c r="A4" s="23" t="str">
        <f>IF(ISTEXT(Home!A4), Home!A4, "")</f>
        <v/>
      </c>
      <c r="B4" s="21">
        <v>3</v>
      </c>
      <c r="C4" s="11"/>
      <c r="D4" s="11"/>
      <c r="E4" s="11"/>
      <c r="F4" s="11"/>
      <c r="G4" s="11"/>
      <c r="H4" s="11"/>
      <c r="I4" s="11"/>
      <c r="J4" s="11"/>
      <c r="K4" s="11"/>
      <c r="L4" s="11"/>
      <c r="M4" s="11"/>
      <c r="N4" s="11"/>
      <c r="O4" s="11"/>
      <c r="P4" s="11"/>
      <c r="Q4" s="11"/>
    </row>
    <row r="5" spans="1:17" ht="19">
      <c r="A5" s="23" t="str">
        <f>IF(ISTEXT(Home!A5), Home!A5, "")</f>
        <v/>
      </c>
      <c r="B5" s="20">
        <v>4</v>
      </c>
      <c r="C5" s="11"/>
      <c r="D5" s="11"/>
      <c r="E5" s="11"/>
      <c r="F5" s="11"/>
      <c r="G5" s="11"/>
      <c r="H5" s="11"/>
      <c r="I5" s="11"/>
      <c r="J5" s="11"/>
      <c r="K5" s="11"/>
      <c r="L5" s="11"/>
      <c r="M5" s="11"/>
      <c r="N5" s="11"/>
      <c r="O5" s="11"/>
      <c r="P5" s="11"/>
      <c r="Q5" s="11"/>
    </row>
    <row r="6" spans="1:17" ht="19">
      <c r="A6" s="23" t="str">
        <f>IF(ISTEXT(Home!A6), Home!A6, "")</f>
        <v/>
      </c>
      <c r="B6" s="20">
        <v>5</v>
      </c>
      <c r="C6" s="11"/>
      <c r="D6" s="11"/>
      <c r="E6" s="11"/>
      <c r="F6" s="11"/>
      <c r="G6" s="11"/>
      <c r="H6" s="11"/>
      <c r="I6" s="11"/>
      <c r="J6" s="11"/>
      <c r="K6" s="11"/>
      <c r="L6" s="11"/>
      <c r="M6" s="11"/>
      <c r="N6" s="11"/>
      <c r="O6" s="11"/>
      <c r="P6" s="11"/>
      <c r="Q6" s="11"/>
    </row>
    <row r="7" spans="1:17" ht="19">
      <c r="A7" s="23" t="str">
        <f>IF(ISTEXT(Home!A7), Home!A7, "")</f>
        <v/>
      </c>
      <c r="B7" s="21">
        <v>6</v>
      </c>
      <c r="C7" s="11"/>
      <c r="D7" s="11"/>
      <c r="E7" s="11"/>
      <c r="F7" s="11"/>
      <c r="G7" s="11"/>
      <c r="H7" s="11"/>
      <c r="I7" s="11"/>
      <c r="J7" s="11"/>
      <c r="K7" s="11"/>
      <c r="L7" s="11"/>
      <c r="M7" s="11"/>
      <c r="N7" s="11"/>
      <c r="O7" s="11"/>
      <c r="P7" s="11"/>
      <c r="Q7" s="11"/>
    </row>
    <row r="8" spans="1:17" ht="19">
      <c r="A8" s="23" t="str">
        <f>IF(ISTEXT(Home!A8), Home!A8, "")</f>
        <v/>
      </c>
      <c r="B8" s="20">
        <v>7</v>
      </c>
      <c r="C8" s="11"/>
      <c r="D8" s="11"/>
      <c r="E8" s="11"/>
      <c r="F8" s="11"/>
      <c r="G8" s="11"/>
      <c r="H8" s="11"/>
      <c r="I8" s="11"/>
      <c r="J8" s="11"/>
      <c r="K8" s="11"/>
      <c r="L8" s="11"/>
      <c r="M8" s="11"/>
      <c r="N8" s="11"/>
      <c r="O8" s="11"/>
      <c r="P8" s="11"/>
      <c r="Q8" s="11"/>
    </row>
    <row r="9" spans="1:17" ht="19">
      <c r="A9" s="23" t="str">
        <f>IF(ISTEXT(Home!A9), Home!A9, "")</f>
        <v/>
      </c>
      <c r="B9" s="20">
        <v>8</v>
      </c>
      <c r="C9" s="11"/>
      <c r="D9" s="11"/>
      <c r="E9" s="11"/>
      <c r="F9" s="11"/>
      <c r="G9" s="11"/>
      <c r="H9" s="11"/>
      <c r="I9" s="11"/>
      <c r="J9" s="11"/>
      <c r="K9" s="11"/>
      <c r="L9" s="11"/>
      <c r="M9" s="11"/>
      <c r="N9" s="11"/>
      <c r="O9" s="11"/>
      <c r="P9" s="11"/>
      <c r="Q9" s="11"/>
    </row>
    <row r="10" spans="1:17" ht="19">
      <c r="A10" s="23" t="str">
        <f>IF(ISTEXT(Home!A10), Home!A10, "")</f>
        <v/>
      </c>
      <c r="B10" s="21">
        <v>9</v>
      </c>
      <c r="C10" s="11"/>
      <c r="D10" s="11"/>
      <c r="E10" s="11"/>
      <c r="F10" s="11"/>
      <c r="G10" s="11"/>
      <c r="H10" s="11"/>
      <c r="I10" s="11"/>
      <c r="J10" s="11"/>
      <c r="K10" s="11"/>
      <c r="L10" s="11"/>
      <c r="M10" s="11"/>
      <c r="N10" s="11"/>
      <c r="O10" s="11"/>
      <c r="P10" s="11"/>
      <c r="Q10" s="11"/>
    </row>
    <row r="11" spans="1:17" ht="19">
      <c r="A11" s="23" t="str">
        <f>IF(ISTEXT(Home!A11), Home!A11, "")</f>
        <v/>
      </c>
      <c r="B11" s="20">
        <v>10</v>
      </c>
      <c r="C11" s="11"/>
      <c r="D11" s="11"/>
      <c r="E11" s="11"/>
      <c r="F11" s="11"/>
      <c r="G11" s="11"/>
      <c r="H11" s="11"/>
      <c r="I11" s="11"/>
      <c r="J11" s="11"/>
      <c r="K11" s="11"/>
      <c r="L11" s="11"/>
      <c r="M11" s="11"/>
      <c r="N11" s="11"/>
      <c r="O11" s="11"/>
      <c r="P11" s="11"/>
      <c r="Q11" s="11"/>
    </row>
    <row r="12" spans="1:17" ht="19">
      <c r="A12" s="23" t="str">
        <f>IF(ISTEXT(Home!A12), Home!A12, "")</f>
        <v/>
      </c>
      <c r="B12" s="20">
        <v>11</v>
      </c>
      <c r="C12" s="11"/>
      <c r="D12" s="11"/>
      <c r="E12" s="11"/>
      <c r="F12" s="11"/>
      <c r="G12" s="11"/>
      <c r="H12" s="11"/>
      <c r="I12" s="11"/>
      <c r="J12" s="11"/>
      <c r="K12" s="11"/>
      <c r="L12" s="11"/>
      <c r="M12" s="11"/>
      <c r="N12" s="11"/>
      <c r="O12" s="11"/>
      <c r="P12" s="11"/>
      <c r="Q12" s="11"/>
    </row>
    <row r="13" spans="1:17" ht="19">
      <c r="A13" s="23" t="str">
        <f>IF(ISTEXT(Home!A13), Home!A13, "")</f>
        <v/>
      </c>
      <c r="B13" s="21">
        <v>12</v>
      </c>
      <c r="C13" s="11"/>
      <c r="D13" s="11"/>
      <c r="E13" s="11"/>
      <c r="F13" s="11"/>
      <c r="G13" s="11"/>
      <c r="H13" s="11"/>
      <c r="I13" s="11"/>
      <c r="J13" s="11"/>
      <c r="K13" s="11"/>
      <c r="L13" s="11"/>
      <c r="M13" s="11"/>
      <c r="N13" s="11"/>
      <c r="O13" s="11"/>
      <c r="P13" s="11"/>
      <c r="Q13" s="11"/>
    </row>
    <row r="14" spans="1:17" ht="19">
      <c r="A14" s="23" t="str">
        <f>IF(ISTEXT(Home!A14), Home!A14, "")</f>
        <v/>
      </c>
      <c r="B14" s="20">
        <v>13</v>
      </c>
      <c r="C14" s="11"/>
      <c r="D14" s="11"/>
      <c r="E14" s="11"/>
      <c r="F14" s="11"/>
      <c r="G14" s="11"/>
      <c r="H14" s="11"/>
      <c r="I14" s="11"/>
      <c r="J14" s="11"/>
      <c r="K14" s="11"/>
      <c r="L14" s="11"/>
      <c r="M14" s="11"/>
      <c r="N14" s="11"/>
      <c r="O14" s="11"/>
      <c r="P14" s="11"/>
      <c r="Q14" s="11"/>
    </row>
    <row r="15" spans="1:17" ht="19">
      <c r="A15" s="23" t="str">
        <f>IF(ISTEXT(Home!A15), Home!A15, "")</f>
        <v/>
      </c>
      <c r="B15" s="20">
        <v>14</v>
      </c>
      <c r="C15" s="11"/>
      <c r="D15" s="11"/>
      <c r="E15" s="11"/>
      <c r="F15" s="11"/>
      <c r="G15" s="11"/>
      <c r="H15" s="11"/>
      <c r="I15" s="11"/>
      <c r="J15" s="11"/>
      <c r="K15" s="11"/>
      <c r="L15" s="11"/>
      <c r="M15" s="11"/>
      <c r="N15" s="11"/>
      <c r="O15" s="11"/>
      <c r="P15" s="11"/>
      <c r="Q15" s="11"/>
    </row>
    <row r="16" spans="1:17" ht="19">
      <c r="A16" s="23" t="str">
        <f>IF(ISTEXT(Home!A16), Home!A16, "")</f>
        <v/>
      </c>
      <c r="B16" s="21">
        <v>15</v>
      </c>
      <c r="C16" s="11"/>
      <c r="D16" s="11"/>
      <c r="E16" s="11"/>
      <c r="F16" s="11"/>
      <c r="G16" s="11"/>
      <c r="H16" s="11"/>
      <c r="I16" s="11"/>
      <c r="J16" s="11"/>
      <c r="K16" s="11"/>
      <c r="L16" s="11"/>
      <c r="M16" s="11"/>
      <c r="N16" s="11"/>
      <c r="O16" s="11"/>
      <c r="P16" s="11"/>
      <c r="Q16" s="11"/>
    </row>
    <row r="17" spans="1:17" ht="19">
      <c r="A17" s="23" t="str">
        <f>IF(ISTEXT(Home!A17), Home!A17, "")</f>
        <v/>
      </c>
      <c r="B17" s="20">
        <v>16</v>
      </c>
      <c r="C17" s="11"/>
      <c r="D17" s="11"/>
      <c r="E17" s="11"/>
      <c r="F17" s="11"/>
      <c r="G17" s="11"/>
      <c r="H17" s="11"/>
      <c r="I17" s="11"/>
      <c r="J17" s="11"/>
      <c r="K17" s="11"/>
      <c r="L17" s="11"/>
      <c r="M17" s="11"/>
      <c r="N17" s="11"/>
      <c r="O17" s="11"/>
      <c r="P17" s="11"/>
      <c r="Q17" s="11"/>
    </row>
    <row r="18" spans="1:17" ht="19">
      <c r="A18" s="23" t="str">
        <f>IF(ISTEXT(Home!A18), Home!A18, "")</f>
        <v/>
      </c>
      <c r="B18" s="20">
        <v>17</v>
      </c>
      <c r="C18" s="11"/>
      <c r="D18" s="11"/>
      <c r="E18" s="11"/>
      <c r="F18" s="11"/>
      <c r="G18" s="11"/>
      <c r="H18" s="11"/>
      <c r="I18" s="11"/>
      <c r="J18" s="11"/>
      <c r="K18" s="11"/>
      <c r="L18" s="11"/>
      <c r="M18" s="11"/>
      <c r="N18" s="11"/>
      <c r="O18" s="11"/>
      <c r="P18" s="11"/>
      <c r="Q18" s="11"/>
    </row>
    <row r="19" spans="1:17" ht="19">
      <c r="A19" s="23" t="str">
        <f>IF(ISTEXT(Home!A19), Home!A19, "")</f>
        <v/>
      </c>
      <c r="B19" s="21">
        <v>18</v>
      </c>
      <c r="C19" s="11"/>
      <c r="D19" s="11"/>
      <c r="E19" s="11"/>
      <c r="F19" s="11"/>
      <c r="G19" s="11"/>
      <c r="H19" s="11"/>
      <c r="I19" s="11"/>
      <c r="J19" s="11"/>
      <c r="K19" s="11"/>
      <c r="L19" s="11"/>
      <c r="M19" s="11"/>
      <c r="N19" s="11"/>
      <c r="O19" s="11"/>
      <c r="P19" s="11"/>
      <c r="Q19" s="11"/>
    </row>
    <row r="20" spans="1:17" ht="19">
      <c r="A20" s="23" t="str">
        <f>IF(ISTEXT(Home!A20), Home!A20, "")</f>
        <v/>
      </c>
      <c r="B20" s="20">
        <v>19</v>
      </c>
      <c r="C20" s="11"/>
      <c r="D20" s="11"/>
      <c r="E20" s="11"/>
      <c r="F20" s="11"/>
      <c r="G20" s="11"/>
      <c r="H20" s="11"/>
      <c r="I20" s="11"/>
      <c r="J20" s="11"/>
      <c r="K20" s="11"/>
      <c r="L20" s="11"/>
      <c r="M20" s="11"/>
      <c r="N20" s="11"/>
      <c r="O20" s="11"/>
      <c r="P20" s="11"/>
      <c r="Q20" s="11"/>
    </row>
    <row r="21" spans="1:17" ht="19">
      <c r="A21" s="23" t="str">
        <f>IF(ISTEXT(Home!A21), Home!A21, "")</f>
        <v/>
      </c>
      <c r="B21" s="20">
        <v>20</v>
      </c>
      <c r="C21" s="11"/>
      <c r="D21" s="11"/>
      <c r="E21" s="11"/>
      <c r="F21" s="11"/>
      <c r="G21" s="11"/>
      <c r="H21" s="11"/>
      <c r="I21" s="11"/>
      <c r="J21" s="11"/>
      <c r="K21" s="11"/>
      <c r="L21" s="11"/>
      <c r="M21" s="11"/>
      <c r="N21" s="11"/>
      <c r="O21" s="11"/>
      <c r="P21" s="11"/>
      <c r="Q21" s="11"/>
    </row>
    <row r="22" spans="1:17" ht="19">
      <c r="A22" s="23" t="str">
        <f>IF(ISTEXT(Home!A22), Home!A22, "")</f>
        <v/>
      </c>
      <c r="B22" s="21">
        <v>21</v>
      </c>
      <c r="C22" s="11"/>
      <c r="D22" s="11"/>
      <c r="E22" s="11"/>
      <c r="F22" s="11"/>
      <c r="G22" s="11"/>
      <c r="H22" s="11"/>
      <c r="I22" s="11"/>
      <c r="J22" s="11"/>
      <c r="K22" s="11"/>
      <c r="L22" s="11"/>
      <c r="M22" s="11"/>
      <c r="N22" s="11"/>
      <c r="O22" s="11"/>
      <c r="P22" s="11"/>
      <c r="Q22" s="11"/>
    </row>
    <row r="23" spans="1:17" ht="19">
      <c r="A23" s="23" t="str">
        <f>IF(ISTEXT(Home!A23), Home!A23, "")</f>
        <v/>
      </c>
      <c r="B23" s="20">
        <v>22</v>
      </c>
      <c r="C23" s="11"/>
      <c r="D23" s="11"/>
      <c r="E23" s="11"/>
      <c r="F23" s="11"/>
      <c r="G23" s="11"/>
      <c r="H23" s="11"/>
      <c r="I23" s="11"/>
      <c r="J23" s="11"/>
      <c r="K23" s="11"/>
      <c r="L23" s="11"/>
      <c r="M23" s="11"/>
      <c r="N23" s="11"/>
      <c r="O23" s="11"/>
      <c r="P23" s="11"/>
      <c r="Q23" s="11"/>
    </row>
    <row r="24" spans="1:17" ht="19">
      <c r="A24" s="23" t="str">
        <f>IF(ISTEXT(Home!A24), Home!A24, "")</f>
        <v/>
      </c>
      <c r="B24" s="20">
        <v>23</v>
      </c>
      <c r="C24" s="11"/>
      <c r="D24" s="11"/>
      <c r="E24" s="11"/>
      <c r="F24" s="11"/>
      <c r="G24" s="11"/>
      <c r="H24" s="11"/>
      <c r="I24" s="11"/>
      <c r="J24" s="11"/>
      <c r="K24" s="11"/>
      <c r="L24" s="11"/>
      <c r="M24" s="11"/>
      <c r="N24" s="11"/>
      <c r="O24" s="11"/>
      <c r="P24" s="11"/>
      <c r="Q24" s="11"/>
    </row>
    <row r="25" spans="1:17" ht="19">
      <c r="A25" s="23" t="str">
        <f>IF(ISTEXT(Home!A25), Home!A25, "")</f>
        <v/>
      </c>
      <c r="B25" s="21">
        <v>24</v>
      </c>
      <c r="C25" s="11"/>
      <c r="D25" s="11"/>
      <c r="E25" s="11"/>
      <c r="F25" s="11"/>
      <c r="G25" s="11"/>
      <c r="H25" s="11"/>
      <c r="I25" s="11"/>
      <c r="J25" s="11"/>
      <c r="K25" s="11"/>
      <c r="L25" s="11"/>
      <c r="M25" s="11"/>
      <c r="N25" s="11"/>
      <c r="O25" s="11"/>
      <c r="P25" s="11"/>
      <c r="Q25" s="11"/>
    </row>
    <row r="26" spans="1:17" ht="19">
      <c r="A26" s="23" t="str">
        <f>IF(ISTEXT(Home!A26), Home!A26, "")</f>
        <v/>
      </c>
      <c r="B26" s="20">
        <v>25</v>
      </c>
      <c r="C26" s="11"/>
      <c r="D26" s="11"/>
      <c r="E26" s="11"/>
      <c r="F26" s="11"/>
      <c r="G26" s="11"/>
      <c r="H26" s="11"/>
      <c r="I26" s="11"/>
      <c r="J26" s="11"/>
      <c r="K26" s="11"/>
      <c r="L26" s="11"/>
      <c r="M26" s="11"/>
      <c r="N26" s="11"/>
      <c r="O26" s="11"/>
      <c r="P26" s="11"/>
      <c r="Q26" s="11"/>
    </row>
    <row r="27" spans="1:17" ht="19">
      <c r="A27" s="23" t="str">
        <f>IF(ISTEXT(Home!A27), Home!A27, "")</f>
        <v/>
      </c>
      <c r="B27" s="20">
        <v>26</v>
      </c>
      <c r="C27" s="11"/>
      <c r="D27" s="11"/>
      <c r="E27" s="11"/>
      <c r="F27" s="11"/>
      <c r="G27" s="11"/>
      <c r="H27" s="11"/>
      <c r="I27" s="11"/>
      <c r="J27" s="11"/>
      <c r="K27" s="11"/>
      <c r="L27" s="11"/>
      <c r="M27" s="11"/>
      <c r="N27" s="11"/>
      <c r="O27" s="11"/>
      <c r="P27" s="11"/>
      <c r="Q27" s="11"/>
    </row>
    <row r="28" spans="1:17" ht="19">
      <c r="A28" s="23" t="str">
        <f>IF(ISTEXT(Home!A28), Home!A28, "")</f>
        <v/>
      </c>
      <c r="B28" s="21">
        <v>27</v>
      </c>
      <c r="C28" s="11"/>
      <c r="D28" s="11"/>
      <c r="E28" s="11"/>
      <c r="F28" s="11"/>
      <c r="G28" s="11"/>
      <c r="H28" s="11"/>
      <c r="I28" s="11"/>
      <c r="J28" s="11"/>
      <c r="K28" s="11"/>
      <c r="L28" s="11"/>
      <c r="M28" s="11"/>
      <c r="N28" s="11"/>
      <c r="O28" s="11"/>
      <c r="P28" s="11"/>
      <c r="Q28" s="11"/>
    </row>
    <row r="29" spans="1:17" ht="19">
      <c r="A29" s="23" t="str">
        <f>IF(ISTEXT(Home!A29), Home!A29, "")</f>
        <v/>
      </c>
      <c r="B29" s="20">
        <v>28</v>
      </c>
      <c r="C29" s="11"/>
      <c r="D29" s="11"/>
      <c r="E29" s="11"/>
      <c r="F29" s="11"/>
      <c r="G29" s="11"/>
      <c r="H29" s="11"/>
      <c r="I29" s="11"/>
      <c r="J29" s="11"/>
      <c r="K29" s="11"/>
      <c r="L29" s="11"/>
      <c r="M29" s="11"/>
      <c r="N29" s="11"/>
      <c r="O29" s="11"/>
      <c r="P29" s="11"/>
      <c r="Q29" s="11"/>
    </row>
    <row r="30" spans="1:17" ht="19">
      <c r="A30" s="23" t="str">
        <f>IF(ISTEXT(Home!A30), Home!A30, "")</f>
        <v/>
      </c>
      <c r="B30" s="20">
        <v>29</v>
      </c>
      <c r="C30" s="11"/>
      <c r="D30" s="11"/>
      <c r="E30" s="11"/>
      <c r="F30" s="11"/>
      <c r="G30" s="11"/>
      <c r="H30" s="11"/>
      <c r="I30" s="11"/>
      <c r="J30" s="11"/>
      <c r="K30" s="11"/>
      <c r="L30" s="11"/>
      <c r="M30" s="11"/>
      <c r="N30" s="11"/>
      <c r="O30" s="11"/>
      <c r="P30" s="11"/>
      <c r="Q30" s="11"/>
    </row>
    <row r="31" spans="1:17" ht="19">
      <c r="A31" s="23" t="str">
        <f>IF(ISTEXT(Home!A31), Home!A31, "")</f>
        <v/>
      </c>
      <c r="B31" s="21">
        <v>30</v>
      </c>
      <c r="C31" s="11"/>
      <c r="D31" s="11"/>
      <c r="E31" s="11"/>
      <c r="F31" s="11"/>
      <c r="G31" s="11"/>
      <c r="H31" s="11"/>
      <c r="I31" s="11"/>
      <c r="J31" s="11"/>
      <c r="K31" s="11"/>
      <c r="L31" s="11"/>
      <c r="M31" s="11"/>
      <c r="N31" s="11"/>
      <c r="O31" s="11"/>
      <c r="P31" s="11"/>
      <c r="Q31" s="11"/>
    </row>
    <row r="32" spans="1:17" ht="19">
      <c r="A32" s="23" t="str">
        <f>IF(ISTEXT(Home!A32), Home!A32, "")</f>
        <v/>
      </c>
      <c r="B32" s="20">
        <v>31</v>
      </c>
      <c r="C32" s="11"/>
      <c r="D32" s="11"/>
      <c r="E32" s="11"/>
      <c r="F32" s="11"/>
      <c r="G32" s="11"/>
      <c r="H32" s="11"/>
      <c r="I32" s="11"/>
      <c r="J32" s="11"/>
      <c r="K32" s="11"/>
      <c r="L32" s="11"/>
      <c r="M32" s="11"/>
      <c r="N32" s="11"/>
      <c r="O32" s="11"/>
      <c r="P32" s="11"/>
      <c r="Q32" s="11"/>
    </row>
    <row r="33" spans="1:17" ht="19">
      <c r="A33" s="23" t="str">
        <f>IF(ISTEXT(Home!A33), Home!A33, "")</f>
        <v/>
      </c>
      <c r="B33" s="20">
        <v>32</v>
      </c>
      <c r="C33" s="11"/>
      <c r="D33" s="11"/>
      <c r="E33" s="11"/>
      <c r="F33" s="11"/>
      <c r="G33" s="11"/>
      <c r="H33" s="11"/>
      <c r="I33" s="11"/>
      <c r="J33" s="11"/>
      <c r="K33" s="11"/>
      <c r="L33" s="11"/>
      <c r="M33" s="11"/>
      <c r="N33" s="11"/>
      <c r="O33" s="11"/>
      <c r="P33" s="11"/>
      <c r="Q33" s="11"/>
    </row>
    <row r="34" spans="1:17" ht="19">
      <c r="A34" s="23" t="str">
        <f>IF(ISTEXT(Home!A34), Home!A34, "")</f>
        <v/>
      </c>
      <c r="B34" s="21">
        <v>33</v>
      </c>
      <c r="C34" s="11"/>
      <c r="D34" s="11"/>
      <c r="E34" s="11"/>
      <c r="F34" s="11"/>
      <c r="G34" s="11"/>
      <c r="H34" s="11"/>
      <c r="I34" s="11"/>
      <c r="J34" s="11"/>
      <c r="K34" s="11"/>
      <c r="L34" s="11"/>
      <c r="M34" s="11"/>
      <c r="N34" s="11"/>
      <c r="O34" s="11"/>
      <c r="P34" s="11"/>
      <c r="Q34" s="11"/>
    </row>
    <row r="35" spans="1:17" ht="19">
      <c r="A35" s="23" t="str">
        <f>IF(ISTEXT(Home!A35), Home!A35, "")</f>
        <v/>
      </c>
      <c r="B35" s="20">
        <v>34</v>
      </c>
      <c r="C35" s="11"/>
      <c r="D35" s="11"/>
      <c r="E35" s="11"/>
      <c r="F35" s="11"/>
      <c r="G35" s="11"/>
      <c r="H35" s="11"/>
      <c r="I35" s="11"/>
      <c r="J35" s="11"/>
      <c r="K35" s="11"/>
      <c r="L35" s="11"/>
      <c r="M35" s="11"/>
      <c r="N35" s="11"/>
      <c r="O35" s="11"/>
      <c r="P35" s="11"/>
      <c r="Q35" s="11"/>
    </row>
    <row r="36" spans="1:17" ht="19">
      <c r="A36" s="23" t="str">
        <f>IF(ISTEXT(Home!A36), Home!A36, "")</f>
        <v/>
      </c>
      <c r="B36" s="20">
        <v>35</v>
      </c>
      <c r="C36" s="11"/>
      <c r="D36" s="11"/>
      <c r="E36" s="11"/>
      <c r="F36" s="11"/>
      <c r="G36" s="11"/>
      <c r="H36" s="11"/>
      <c r="I36" s="11"/>
      <c r="J36" s="11"/>
      <c r="K36" s="11"/>
      <c r="L36" s="11"/>
      <c r="M36" s="11"/>
      <c r="N36" s="11"/>
      <c r="O36" s="11"/>
      <c r="P36" s="11"/>
      <c r="Q36" s="11"/>
    </row>
    <row r="37" spans="1:17" ht="19">
      <c r="A37" s="23" t="str">
        <f>IF(ISTEXT(Home!A37), Home!A37, "")</f>
        <v/>
      </c>
      <c r="B37" s="21">
        <v>36</v>
      </c>
      <c r="C37" s="11"/>
      <c r="D37" s="11"/>
      <c r="E37" s="11"/>
      <c r="F37" s="11"/>
      <c r="G37" s="11"/>
      <c r="H37" s="11"/>
      <c r="I37" s="11"/>
      <c r="J37" s="11"/>
      <c r="K37" s="11"/>
      <c r="L37" s="11"/>
      <c r="M37" s="11"/>
      <c r="N37" s="11"/>
      <c r="O37" s="11"/>
      <c r="P37" s="11"/>
      <c r="Q37" s="11"/>
    </row>
    <row r="38" spans="1:17" ht="19">
      <c r="A38" s="23" t="str">
        <f>IF(ISTEXT(Home!A38), Home!A38, "")</f>
        <v>Test</v>
      </c>
      <c r="B38" s="20">
        <v>37</v>
      </c>
      <c r="C38" s="11"/>
      <c r="D38" s="11"/>
      <c r="E38" s="11"/>
      <c r="F38" s="11"/>
      <c r="G38" s="11"/>
      <c r="H38" s="11"/>
      <c r="I38" s="11"/>
      <c r="J38" s="11"/>
      <c r="K38" s="11"/>
      <c r="L38" s="11"/>
      <c r="M38" s="11"/>
      <c r="N38" s="11"/>
      <c r="O38" s="11"/>
      <c r="P38" s="11"/>
      <c r="Q38" s="11"/>
    </row>
    <row r="39" spans="1:17" ht="19">
      <c r="A39" s="23" t="str">
        <f>IF(ISTEXT(Home!A39), Home!A39, "")</f>
        <v>Perfect</v>
      </c>
      <c r="B39" s="20">
        <v>38</v>
      </c>
      <c r="C39" s="11"/>
      <c r="D39" s="11"/>
      <c r="E39" s="11"/>
      <c r="F39" s="11"/>
      <c r="G39" s="11"/>
      <c r="H39" s="11"/>
      <c r="I39" s="11"/>
      <c r="J39" s="11"/>
      <c r="K39" s="11"/>
      <c r="L39" s="11"/>
      <c r="M39" s="11"/>
      <c r="N39" s="11"/>
      <c r="O39" s="11"/>
      <c r="P39" s="11"/>
      <c r="Q39" s="11"/>
    </row>
    <row r="40" spans="1:17" ht="19">
      <c r="A40" s="11"/>
      <c r="B40" s="11"/>
      <c r="C40" s="11"/>
      <c r="D40" s="11"/>
      <c r="E40" s="11"/>
      <c r="F40" s="11"/>
      <c r="G40" s="11"/>
      <c r="H40" s="11"/>
      <c r="I40" s="11"/>
      <c r="J40" s="11"/>
      <c r="K40" s="11"/>
      <c r="L40" s="11"/>
      <c r="M40" s="11"/>
      <c r="N40" s="11"/>
      <c r="O40" s="11"/>
      <c r="P40" s="11"/>
      <c r="Q40" s="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111CA-EBE5-4F49-97C5-E6326263DDB7}">
  <sheetPr codeName="Sheet8"/>
  <dimension ref="A1:Q40"/>
  <sheetViews>
    <sheetView workbookViewId="0">
      <selection activeCell="B2" sqref="B2:B39"/>
    </sheetView>
  </sheetViews>
  <sheetFormatPr baseColWidth="10" defaultRowHeight="16"/>
  <cols>
    <col min="1" max="16384" width="10.83203125" style="12"/>
  </cols>
  <sheetData>
    <row r="1" spans="1:17" ht="19">
      <c r="A1" s="31" t="s">
        <v>0</v>
      </c>
      <c r="B1" s="24" t="s">
        <v>12</v>
      </c>
      <c r="C1" s="11" t="s">
        <v>10</v>
      </c>
      <c r="D1" s="11"/>
      <c r="E1" s="11"/>
      <c r="F1" s="11"/>
      <c r="G1" s="11"/>
      <c r="H1" s="11"/>
      <c r="I1" s="11"/>
      <c r="J1" s="11"/>
      <c r="K1" s="11"/>
      <c r="L1" s="11"/>
      <c r="M1" s="11"/>
      <c r="N1" s="11"/>
      <c r="O1" s="11"/>
      <c r="P1" s="11"/>
      <c r="Q1" s="11"/>
    </row>
    <row r="2" spans="1:17" ht="19">
      <c r="A2" s="23" t="str">
        <f>IF(ISTEXT(Home!A2), Home!A2, "")</f>
        <v/>
      </c>
      <c r="B2" s="20">
        <v>1</v>
      </c>
      <c r="C2" s="11"/>
      <c r="D2" s="11"/>
      <c r="E2" s="11"/>
      <c r="F2" s="11"/>
      <c r="G2" s="11"/>
      <c r="H2" s="11"/>
      <c r="I2" s="11"/>
      <c r="J2" s="11"/>
      <c r="K2" s="11"/>
      <c r="L2" s="11"/>
      <c r="M2" s="11"/>
      <c r="N2" s="11"/>
      <c r="O2" s="11"/>
      <c r="P2" s="11"/>
      <c r="Q2" s="11"/>
    </row>
    <row r="3" spans="1:17" ht="19">
      <c r="A3" s="23" t="str">
        <f>IF(ISTEXT(Home!A3), Home!A3, "")</f>
        <v/>
      </c>
      <c r="B3" s="20">
        <v>2</v>
      </c>
      <c r="C3" s="11"/>
      <c r="D3" s="11"/>
      <c r="E3" s="11"/>
      <c r="F3" s="11"/>
      <c r="G3" s="11"/>
      <c r="H3" s="11"/>
      <c r="I3" s="11"/>
      <c r="J3" s="11"/>
      <c r="K3" s="11"/>
      <c r="L3" s="11"/>
      <c r="M3" s="11"/>
      <c r="N3" s="11"/>
      <c r="O3" s="11"/>
      <c r="P3" s="11"/>
      <c r="Q3" s="11"/>
    </row>
    <row r="4" spans="1:17" ht="19">
      <c r="A4" s="23" t="str">
        <f>IF(ISTEXT(Home!A4), Home!A4, "")</f>
        <v/>
      </c>
      <c r="B4" s="21">
        <v>3</v>
      </c>
      <c r="C4" s="11"/>
      <c r="D4" s="11"/>
      <c r="E4" s="11"/>
      <c r="F4" s="11"/>
      <c r="G4" s="11"/>
      <c r="H4" s="11"/>
      <c r="I4" s="11"/>
      <c r="J4" s="11"/>
      <c r="K4" s="11"/>
      <c r="L4" s="11"/>
      <c r="M4" s="11"/>
      <c r="N4" s="11"/>
      <c r="O4" s="11"/>
      <c r="P4" s="11"/>
      <c r="Q4" s="11"/>
    </row>
    <row r="5" spans="1:17" ht="19">
      <c r="A5" s="23" t="str">
        <f>IF(ISTEXT(Home!A5), Home!A5, "")</f>
        <v/>
      </c>
      <c r="B5" s="20">
        <v>4</v>
      </c>
      <c r="C5" s="11"/>
      <c r="D5" s="11"/>
      <c r="E5" s="11"/>
      <c r="F5" s="11"/>
      <c r="G5" s="11"/>
      <c r="H5" s="11"/>
      <c r="I5" s="11"/>
      <c r="J5" s="11"/>
      <c r="K5" s="11"/>
      <c r="L5" s="11"/>
      <c r="M5" s="11"/>
      <c r="N5" s="11"/>
      <c r="O5" s="11"/>
      <c r="P5" s="11"/>
      <c r="Q5" s="11"/>
    </row>
    <row r="6" spans="1:17" ht="19">
      <c r="A6" s="23" t="str">
        <f>IF(ISTEXT(Home!A6), Home!A6, "")</f>
        <v/>
      </c>
      <c r="B6" s="20">
        <v>5</v>
      </c>
      <c r="C6" s="11"/>
      <c r="D6" s="11"/>
      <c r="E6" s="11"/>
      <c r="F6" s="11"/>
      <c r="G6" s="11"/>
      <c r="H6" s="11"/>
      <c r="I6" s="11"/>
      <c r="J6" s="11"/>
      <c r="K6" s="11"/>
      <c r="L6" s="11"/>
      <c r="M6" s="11"/>
      <c r="N6" s="11"/>
      <c r="O6" s="11"/>
      <c r="P6" s="11"/>
      <c r="Q6" s="11"/>
    </row>
    <row r="7" spans="1:17" ht="19">
      <c r="A7" s="23" t="str">
        <f>IF(ISTEXT(Home!A7), Home!A7, "")</f>
        <v/>
      </c>
      <c r="B7" s="21">
        <v>6</v>
      </c>
      <c r="C7" s="11"/>
      <c r="D7" s="11"/>
      <c r="E7" s="11"/>
      <c r="F7" s="11"/>
      <c r="G7" s="11"/>
      <c r="H7" s="11"/>
      <c r="I7" s="11"/>
      <c r="J7" s="11"/>
      <c r="K7" s="11"/>
      <c r="L7" s="11"/>
      <c r="M7" s="11"/>
      <c r="N7" s="11"/>
      <c r="O7" s="11"/>
      <c r="P7" s="11"/>
      <c r="Q7" s="11"/>
    </row>
    <row r="8" spans="1:17" ht="19">
      <c r="A8" s="23" t="str">
        <f>IF(ISTEXT(Home!A8), Home!A8, "")</f>
        <v/>
      </c>
      <c r="B8" s="20">
        <v>7</v>
      </c>
      <c r="C8" s="11"/>
      <c r="D8" s="11"/>
      <c r="E8" s="11"/>
      <c r="F8" s="11"/>
      <c r="G8" s="11"/>
      <c r="H8" s="11"/>
      <c r="I8" s="11"/>
      <c r="J8" s="11"/>
      <c r="K8" s="11"/>
      <c r="L8" s="11"/>
      <c r="M8" s="11"/>
      <c r="N8" s="11"/>
      <c r="O8" s="11"/>
      <c r="P8" s="11"/>
      <c r="Q8" s="11"/>
    </row>
    <row r="9" spans="1:17" ht="19">
      <c r="A9" s="23" t="str">
        <f>IF(ISTEXT(Home!A9), Home!A9, "")</f>
        <v/>
      </c>
      <c r="B9" s="20">
        <v>8</v>
      </c>
      <c r="C9" s="11"/>
      <c r="D9" s="11"/>
      <c r="E9" s="11"/>
      <c r="F9" s="11"/>
      <c r="G9" s="11"/>
      <c r="H9" s="11"/>
      <c r="I9" s="11"/>
      <c r="J9" s="11"/>
      <c r="K9" s="11"/>
      <c r="L9" s="11"/>
      <c r="M9" s="11"/>
      <c r="N9" s="11"/>
      <c r="O9" s="11"/>
      <c r="P9" s="11"/>
      <c r="Q9" s="11"/>
    </row>
    <row r="10" spans="1:17" ht="19">
      <c r="A10" s="23" t="str">
        <f>IF(ISTEXT(Home!A10), Home!A10, "")</f>
        <v/>
      </c>
      <c r="B10" s="21">
        <v>9</v>
      </c>
      <c r="C10" s="11"/>
      <c r="D10" s="11"/>
      <c r="E10" s="11"/>
      <c r="F10" s="11"/>
      <c r="G10" s="11"/>
      <c r="H10" s="11"/>
      <c r="I10" s="11"/>
      <c r="J10" s="11"/>
      <c r="K10" s="11"/>
      <c r="L10" s="11"/>
      <c r="M10" s="11"/>
      <c r="N10" s="11"/>
      <c r="O10" s="11"/>
      <c r="P10" s="11"/>
      <c r="Q10" s="11"/>
    </row>
    <row r="11" spans="1:17" ht="19">
      <c r="A11" s="23" t="str">
        <f>IF(ISTEXT(Home!A11), Home!A11, "")</f>
        <v/>
      </c>
      <c r="B11" s="20">
        <v>10</v>
      </c>
      <c r="C11" s="11"/>
      <c r="D11" s="11"/>
      <c r="E11" s="11"/>
      <c r="F11" s="11"/>
      <c r="G11" s="11"/>
      <c r="H11" s="11"/>
      <c r="I11" s="11"/>
      <c r="J11" s="11"/>
      <c r="K11" s="11"/>
      <c r="L11" s="11"/>
      <c r="M11" s="11"/>
      <c r="N11" s="11"/>
      <c r="O11" s="11"/>
      <c r="P11" s="11"/>
      <c r="Q11" s="11"/>
    </row>
    <row r="12" spans="1:17" ht="19">
      <c r="A12" s="23" t="str">
        <f>IF(ISTEXT(Home!A12), Home!A12, "")</f>
        <v/>
      </c>
      <c r="B12" s="20">
        <v>11</v>
      </c>
      <c r="C12" s="11"/>
      <c r="D12" s="11"/>
      <c r="E12" s="11"/>
      <c r="F12" s="11"/>
      <c r="G12" s="11"/>
      <c r="H12" s="11"/>
      <c r="I12" s="11"/>
      <c r="J12" s="11"/>
      <c r="K12" s="11"/>
      <c r="L12" s="11"/>
      <c r="M12" s="11"/>
      <c r="N12" s="11"/>
      <c r="O12" s="11"/>
      <c r="P12" s="11"/>
      <c r="Q12" s="11"/>
    </row>
    <row r="13" spans="1:17" ht="19">
      <c r="A13" s="23" t="str">
        <f>IF(ISTEXT(Home!A13), Home!A13, "")</f>
        <v/>
      </c>
      <c r="B13" s="21">
        <v>12</v>
      </c>
      <c r="C13" s="11"/>
      <c r="D13" s="11"/>
      <c r="E13" s="11"/>
      <c r="F13" s="11"/>
      <c r="G13" s="11"/>
      <c r="H13" s="11"/>
      <c r="I13" s="11"/>
      <c r="J13" s="11"/>
      <c r="K13" s="11"/>
      <c r="L13" s="11"/>
      <c r="M13" s="11"/>
      <c r="N13" s="11"/>
      <c r="O13" s="11"/>
      <c r="P13" s="11"/>
      <c r="Q13" s="11"/>
    </row>
    <row r="14" spans="1:17" ht="19">
      <c r="A14" s="23" t="str">
        <f>IF(ISTEXT(Home!A14), Home!A14, "")</f>
        <v/>
      </c>
      <c r="B14" s="20">
        <v>13</v>
      </c>
      <c r="C14" s="11"/>
      <c r="D14" s="11"/>
      <c r="E14" s="11"/>
      <c r="F14" s="11"/>
      <c r="G14" s="11"/>
      <c r="H14" s="11"/>
      <c r="I14" s="11"/>
      <c r="J14" s="11"/>
      <c r="K14" s="11"/>
      <c r="L14" s="11"/>
      <c r="M14" s="11"/>
      <c r="N14" s="11"/>
      <c r="O14" s="11"/>
      <c r="P14" s="11"/>
      <c r="Q14" s="11"/>
    </row>
    <row r="15" spans="1:17" ht="19">
      <c r="A15" s="23" t="str">
        <f>IF(ISTEXT(Home!A15), Home!A15, "")</f>
        <v/>
      </c>
      <c r="B15" s="20">
        <v>14</v>
      </c>
      <c r="C15" s="11"/>
      <c r="D15" s="11"/>
      <c r="E15" s="11"/>
      <c r="F15" s="11"/>
      <c r="G15" s="11"/>
      <c r="H15" s="11"/>
      <c r="I15" s="11"/>
      <c r="J15" s="11"/>
      <c r="K15" s="11"/>
      <c r="L15" s="11"/>
      <c r="M15" s="11"/>
      <c r="N15" s="11"/>
      <c r="O15" s="11"/>
      <c r="P15" s="11"/>
      <c r="Q15" s="11"/>
    </row>
    <row r="16" spans="1:17" ht="19">
      <c r="A16" s="23" t="str">
        <f>IF(ISTEXT(Home!A16), Home!A16, "")</f>
        <v/>
      </c>
      <c r="B16" s="21">
        <v>15</v>
      </c>
      <c r="C16" s="11"/>
      <c r="D16" s="11"/>
      <c r="E16" s="11"/>
      <c r="F16" s="11"/>
      <c r="G16" s="11"/>
      <c r="H16" s="11"/>
      <c r="I16" s="11"/>
      <c r="J16" s="11"/>
      <c r="K16" s="11"/>
      <c r="L16" s="11"/>
      <c r="M16" s="11"/>
      <c r="N16" s="11"/>
      <c r="O16" s="11"/>
      <c r="P16" s="11"/>
      <c r="Q16" s="11"/>
    </row>
    <row r="17" spans="1:17" ht="19">
      <c r="A17" s="23" t="str">
        <f>IF(ISTEXT(Home!A17), Home!A17, "")</f>
        <v/>
      </c>
      <c r="B17" s="20">
        <v>16</v>
      </c>
      <c r="C17" s="11"/>
      <c r="D17" s="11"/>
      <c r="E17" s="11"/>
      <c r="F17" s="11"/>
      <c r="G17" s="11"/>
      <c r="H17" s="11"/>
      <c r="I17" s="11"/>
      <c r="J17" s="11"/>
      <c r="K17" s="11"/>
      <c r="L17" s="11"/>
      <c r="M17" s="11"/>
      <c r="N17" s="11"/>
      <c r="O17" s="11"/>
      <c r="P17" s="11"/>
      <c r="Q17" s="11"/>
    </row>
    <row r="18" spans="1:17" ht="19">
      <c r="A18" s="23" t="str">
        <f>IF(ISTEXT(Home!A18), Home!A18, "")</f>
        <v/>
      </c>
      <c r="B18" s="20">
        <v>17</v>
      </c>
      <c r="C18" s="11"/>
      <c r="D18" s="11"/>
      <c r="E18" s="11"/>
      <c r="F18" s="11"/>
      <c r="G18" s="11"/>
      <c r="H18" s="11"/>
      <c r="I18" s="11"/>
      <c r="J18" s="11"/>
      <c r="K18" s="11"/>
      <c r="L18" s="11"/>
      <c r="M18" s="11"/>
      <c r="N18" s="11"/>
      <c r="O18" s="11"/>
      <c r="P18" s="11"/>
      <c r="Q18" s="11"/>
    </row>
    <row r="19" spans="1:17" ht="19">
      <c r="A19" s="23" t="str">
        <f>IF(ISTEXT(Home!A19), Home!A19, "")</f>
        <v/>
      </c>
      <c r="B19" s="21">
        <v>18</v>
      </c>
      <c r="C19" s="11"/>
      <c r="D19" s="11"/>
      <c r="E19" s="11"/>
      <c r="F19" s="11"/>
      <c r="G19" s="11"/>
      <c r="H19" s="11"/>
      <c r="I19" s="11"/>
      <c r="J19" s="11"/>
      <c r="K19" s="11"/>
      <c r="L19" s="11"/>
      <c r="M19" s="11"/>
      <c r="N19" s="11"/>
      <c r="O19" s="11"/>
      <c r="P19" s="11"/>
      <c r="Q19" s="11"/>
    </row>
    <row r="20" spans="1:17" ht="19">
      <c r="A20" s="23" t="str">
        <f>IF(ISTEXT(Home!A20), Home!A20, "")</f>
        <v/>
      </c>
      <c r="B20" s="20">
        <v>19</v>
      </c>
      <c r="C20" s="11"/>
      <c r="D20" s="11"/>
      <c r="E20" s="11"/>
      <c r="F20" s="11"/>
      <c r="G20" s="11"/>
      <c r="H20" s="11"/>
      <c r="I20" s="11"/>
      <c r="J20" s="11"/>
      <c r="K20" s="11"/>
      <c r="L20" s="11"/>
      <c r="M20" s="11"/>
      <c r="N20" s="11"/>
      <c r="O20" s="11"/>
      <c r="P20" s="11"/>
      <c r="Q20" s="11"/>
    </row>
    <row r="21" spans="1:17" ht="19">
      <c r="A21" s="23" t="str">
        <f>IF(ISTEXT(Home!A21), Home!A21, "")</f>
        <v/>
      </c>
      <c r="B21" s="20">
        <v>20</v>
      </c>
      <c r="C21" s="11"/>
      <c r="D21" s="11"/>
      <c r="E21" s="11"/>
      <c r="F21" s="11"/>
      <c r="G21" s="11"/>
      <c r="H21" s="11"/>
      <c r="I21" s="11"/>
      <c r="J21" s="11"/>
      <c r="K21" s="11"/>
      <c r="L21" s="11"/>
      <c r="M21" s="11"/>
      <c r="N21" s="11"/>
      <c r="O21" s="11"/>
      <c r="P21" s="11"/>
      <c r="Q21" s="11"/>
    </row>
    <row r="22" spans="1:17" ht="19">
      <c r="A22" s="23" t="str">
        <f>IF(ISTEXT(Home!A22), Home!A22, "")</f>
        <v/>
      </c>
      <c r="B22" s="21">
        <v>21</v>
      </c>
      <c r="C22" s="11"/>
      <c r="D22" s="11"/>
      <c r="E22" s="11"/>
      <c r="F22" s="11"/>
      <c r="G22" s="11"/>
      <c r="H22" s="11"/>
      <c r="I22" s="11"/>
      <c r="J22" s="11"/>
      <c r="K22" s="11"/>
      <c r="L22" s="11"/>
      <c r="M22" s="11"/>
      <c r="N22" s="11"/>
      <c r="O22" s="11"/>
      <c r="P22" s="11"/>
      <c r="Q22" s="11"/>
    </row>
    <row r="23" spans="1:17" ht="19">
      <c r="A23" s="23" t="str">
        <f>IF(ISTEXT(Home!A23), Home!A23, "")</f>
        <v/>
      </c>
      <c r="B23" s="20">
        <v>22</v>
      </c>
      <c r="C23" s="11"/>
      <c r="D23" s="11"/>
      <c r="E23" s="11"/>
      <c r="F23" s="11"/>
      <c r="G23" s="11"/>
      <c r="H23" s="11"/>
      <c r="I23" s="11"/>
      <c r="J23" s="11"/>
      <c r="K23" s="11"/>
      <c r="L23" s="11"/>
      <c r="M23" s="11"/>
      <c r="N23" s="11"/>
      <c r="O23" s="11"/>
      <c r="P23" s="11"/>
      <c r="Q23" s="11"/>
    </row>
    <row r="24" spans="1:17" ht="19">
      <c r="A24" s="23" t="str">
        <f>IF(ISTEXT(Home!A24), Home!A24, "")</f>
        <v/>
      </c>
      <c r="B24" s="20">
        <v>23</v>
      </c>
      <c r="C24" s="11"/>
      <c r="D24" s="11"/>
      <c r="E24" s="11"/>
      <c r="F24" s="11"/>
      <c r="G24" s="11"/>
      <c r="H24" s="11"/>
      <c r="I24" s="11"/>
      <c r="J24" s="11"/>
      <c r="K24" s="11"/>
      <c r="L24" s="11"/>
      <c r="M24" s="11"/>
      <c r="N24" s="11"/>
      <c r="O24" s="11"/>
      <c r="P24" s="11"/>
      <c r="Q24" s="11"/>
    </row>
    <row r="25" spans="1:17" ht="19">
      <c r="A25" s="23" t="str">
        <f>IF(ISTEXT(Home!A25), Home!A25, "")</f>
        <v/>
      </c>
      <c r="B25" s="21">
        <v>24</v>
      </c>
      <c r="C25" s="11"/>
      <c r="D25" s="11"/>
      <c r="E25" s="11"/>
      <c r="F25" s="11"/>
      <c r="G25" s="11"/>
      <c r="H25" s="11"/>
      <c r="I25" s="11"/>
      <c r="J25" s="11"/>
      <c r="K25" s="11"/>
      <c r="L25" s="11"/>
      <c r="M25" s="11"/>
      <c r="N25" s="11"/>
      <c r="O25" s="11"/>
      <c r="P25" s="11"/>
      <c r="Q25" s="11"/>
    </row>
    <row r="26" spans="1:17" ht="19">
      <c r="A26" s="23" t="str">
        <f>IF(ISTEXT(Home!A26), Home!A26, "")</f>
        <v/>
      </c>
      <c r="B26" s="20">
        <v>25</v>
      </c>
      <c r="C26" s="11"/>
      <c r="D26" s="11"/>
      <c r="E26" s="11"/>
      <c r="F26" s="11"/>
      <c r="G26" s="11"/>
      <c r="H26" s="11"/>
      <c r="I26" s="11"/>
      <c r="J26" s="11"/>
      <c r="K26" s="11"/>
      <c r="L26" s="11"/>
      <c r="M26" s="11"/>
      <c r="N26" s="11"/>
      <c r="O26" s="11"/>
      <c r="P26" s="11"/>
      <c r="Q26" s="11"/>
    </row>
    <row r="27" spans="1:17" ht="19">
      <c r="A27" s="23" t="str">
        <f>IF(ISTEXT(Home!A27), Home!A27, "")</f>
        <v/>
      </c>
      <c r="B27" s="20">
        <v>26</v>
      </c>
      <c r="C27" s="11"/>
      <c r="D27" s="11"/>
      <c r="E27" s="11"/>
      <c r="F27" s="11"/>
      <c r="G27" s="11"/>
      <c r="H27" s="11"/>
      <c r="I27" s="11"/>
      <c r="J27" s="11"/>
      <c r="K27" s="11"/>
      <c r="L27" s="11"/>
      <c r="M27" s="11"/>
      <c r="N27" s="11"/>
      <c r="O27" s="11"/>
      <c r="P27" s="11"/>
      <c r="Q27" s="11"/>
    </row>
    <row r="28" spans="1:17" ht="19">
      <c r="A28" s="23" t="str">
        <f>IF(ISTEXT(Home!A28), Home!A28, "")</f>
        <v/>
      </c>
      <c r="B28" s="21">
        <v>27</v>
      </c>
      <c r="C28" s="11"/>
      <c r="D28" s="11"/>
      <c r="E28" s="11"/>
      <c r="F28" s="11"/>
      <c r="G28" s="11"/>
      <c r="H28" s="11"/>
      <c r="I28" s="11"/>
      <c r="J28" s="11"/>
      <c r="K28" s="11"/>
      <c r="L28" s="11"/>
      <c r="M28" s="11"/>
      <c r="N28" s="11"/>
      <c r="O28" s="11"/>
      <c r="P28" s="11"/>
      <c r="Q28" s="11"/>
    </row>
    <row r="29" spans="1:17" ht="19">
      <c r="A29" s="23" t="str">
        <f>IF(ISTEXT(Home!A29), Home!A29, "")</f>
        <v/>
      </c>
      <c r="B29" s="20">
        <v>28</v>
      </c>
      <c r="C29" s="11"/>
      <c r="D29" s="11"/>
      <c r="E29" s="11"/>
      <c r="F29" s="11"/>
      <c r="G29" s="11"/>
      <c r="H29" s="11"/>
      <c r="I29" s="11"/>
      <c r="J29" s="11"/>
      <c r="K29" s="11"/>
      <c r="L29" s="11"/>
      <c r="M29" s="11"/>
      <c r="N29" s="11"/>
      <c r="O29" s="11"/>
      <c r="P29" s="11"/>
      <c r="Q29" s="11"/>
    </row>
    <row r="30" spans="1:17" ht="19">
      <c r="A30" s="23" t="str">
        <f>IF(ISTEXT(Home!A30), Home!A30, "")</f>
        <v/>
      </c>
      <c r="B30" s="20">
        <v>29</v>
      </c>
      <c r="C30" s="11"/>
      <c r="D30" s="11"/>
      <c r="E30" s="11"/>
      <c r="F30" s="11"/>
      <c r="G30" s="11"/>
      <c r="H30" s="11"/>
      <c r="I30" s="11"/>
      <c r="J30" s="11"/>
      <c r="K30" s="11"/>
      <c r="L30" s="11"/>
      <c r="M30" s="11"/>
      <c r="N30" s="11"/>
      <c r="O30" s="11"/>
      <c r="P30" s="11"/>
      <c r="Q30" s="11"/>
    </row>
    <row r="31" spans="1:17" ht="19">
      <c r="A31" s="23" t="str">
        <f>IF(ISTEXT(Home!A31), Home!A31, "")</f>
        <v/>
      </c>
      <c r="B31" s="21">
        <v>30</v>
      </c>
      <c r="C31" s="11"/>
      <c r="D31" s="11"/>
      <c r="E31" s="11"/>
      <c r="F31" s="11"/>
      <c r="G31" s="11"/>
      <c r="H31" s="11"/>
      <c r="I31" s="11"/>
      <c r="J31" s="11"/>
      <c r="K31" s="11"/>
      <c r="L31" s="11"/>
      <c r="M31" s="11"/>
      <c r="N31" s="11"/>
      <c r="O31" s="11"/>
      <c r="P31" s="11"/>
      <c r="Q31" s="11"/>
    </row>
    <row r="32" spans="1:17" ht="19">
      <c r="A32" s="23" t="str">
        <f>IF(ISTEXT(Home!A32), Home!A32, "")</f>
        <v/>
      </c>
      <c r="B32" s="20">
        <v>31</v>
      </c>
      <c r="C32" s="11"/>
      <c r="D32" s="11"/>
      <c r="E32" s="11"/>
      <c r="F32" s="11"/>
      <c r="G32" s="11"/>
      <c r="H32" s="11"/>
      <c r="I32" s="11"/>
      <c r="J32" s="11"/>
      <c r="K32" s="11"/>
      <c r="L32" s="11"/>
      <c r="M32" s="11"/>
      <c r="N32" s="11"/>
      <c r="O32" s="11"/>
      <c r="P32" s="11"/>
      <c r="Q32" s="11"/>
    </row>
    <row r="33" spans="1:17" ht="19">
      <c r="A33" s="23" t="str">
        <f>IF(ISTEXT(Home!A33), Home!A33, "")</f>
        <v/>
      </c>
      <c r="B33" s="20">
        <v>32</v>
      </c>
      <c r="C33" s="11"/>
      <c r="D33" s="11"/>
      <c r="E33" s="11"/>
      <c r="F33" s="11"/>
      <c r="G33" s="11"/>
      <c r="H33" s="11"/>
      <c r="I33" s="11"/>
      <c r="J33" s="11"/>
      <c r="K33" s="11"/>
      <c r="L33" s="11"/>
      <c r="M33" s="11"/>
      <c r="N33" s="11"/>
      <c r="O33" s="11"/>
      <c r="P33" s="11"/>
      <c r="Q33" s="11"/>
    </row>
    <row r="34" spans="1:17" ht="19">
      <c r="A34" s="23" t="str">
        <f>IF(ISTEXT(Home!A34), Home!A34, "")</f>
        <v/>
      </c>
      <c r="B34" s="21">
        <v>33</v>
      </c>
      <c r="C34" s="11"/>
      <c r="D34" s="11"/>
      <c r="E34" s="11"/>
      <c r="F34" s="11"/>
      <c r="G34" s="11"/>
      <c r="H34" s="11"/>
      <c r="I34" s="11"/>
      <c r="J34" s="11"/>
      <c r="K34" s="11"/>
      <c r="L34" s="11"/>
      <c r="M34" s="11"/>
      <c r="N34" s="11"/>
      <c r="O34" s="11"/>
      <c r="P34" s="11"/>
      <c r="Q34" s="11"/>
    </row>
    <row r="35" spans="1:17" ht="19">
      <c r="A35" s="23" t="str">
        <f>IF(ISTEXT(Home!A35), Home!A35, "")</f>
        <v/>
      </c>
      <c r="B35" s="20">
        <v>34</v>
      </c>
      <c r="C35" s="11"/>
      <c r="D35" s="11"/>
      <c r="E35" s="11"/>
      <c r="F35" s="11"/>
      <c r="G35" s="11"/>
      <c r="H35" s="11"/>
      <c r="I35" s="11"/>
      <c r="J35" s="11"/>
      <c r="K35" s="11"/>
      <c r="L35" s="11"/>
      <c r="M35" s="11"/>
      <c r="N35" s="11"/>
      <c r="O35" s="11"/>
      <c r="P35" s="11"/>
      <c r="Q35" s="11"/>
    </row>
    <row r="36" spans="1:17" ht="19">
      <c r="A36" s="23" t="str">
        <f>IF(ISTEXT(Home!A36), Home!A36, "")</f>
        <v/>
      </c>
      <c r="B36" s="20">
        <v>35</v>
      </c>
      <c r="C36" s="11"/>
      <c r="D36" s="11"/>
      <c r="E36" s="11"/>
      <c r="F36" s="11"/>
      <c r="G36" s="11"/>
      <c r="H36" s="11"/>
      <c r="I36" s="11"/>
      <c r="J36" s="11"/>
      <c r="K36" s="11"/>
      <c r="L36" s="11"/>
      <c r="M36" s="11"/>
      <c r="N36" s="11"/>
      <c r="O36" s="11"/>
      <c r="P36" s="11"/>
      <c r="Q36" s="11"/>
    </row>
    <row r="37" spans="1:17" ht="19">
      <c r="A37" s="23" t="str">
        <f>IF(ISTEXT(Home!A37), Home!A37, "")</f>
        <v/>
      </c>
      <c r="B37" s="21">
        <v>36</v>
      </c>
      <c r="C37" s="11"/>
      <c r="D37" s="11"/>
      <c r="E37" s="11"/>
      <c r="F37" s="11"/>
      <c r="G37" s="11"/>
      <c r="H37" s="11"/>
      <c r="I37" s="11"/>
      <c r="J37" s="11"/>
      <c r="K37" s="11"/>
      <c r="L37" s="11"/>
      <c r="M37" s="11"/>
      <c r="N37" s="11"/>
      <c r="O37" s="11"/>
      <c r="P37" s="11"/>
      <c r="Q37" s="11"/>
    </row>
    <row r="38" spans="1:17" ht="19">
      <c r="A38" s="23" t="str">
        <f>IF(ISTEXT(Home!A38), Home!A38, "")</f>
        <v>Test</v>
      </c>
      <c r="B38" s="20">
        <v>37</v>
      </c>
      <c r="C38" s="11"/>
      <c r="D38" s="11"/>
      <c r="E38" s="11"/>
      <c r="F38" s="11"/>
      <c r="G38" s="11"/>
      <c r="H38" s="11"/>
      <c r="I38" s="11"/>
      <c r="J38" s="11"/>
      <c r="K38" s="11"/>
      <c r="L38" s="11"/>
      <c r="M38" s="11"/>
      <c r="N38" s="11"/>
      <c r="O38" s="11"/>
      <c r="P38" s="11"/>
      <c r="Q38" s="11"/>
    </row>
    <row r="39" spans="1:17" ht="19">
      <c r="A39" s="23" t="str">
        <f>IF(ISTEXT(Home!A39), Home!A39, "")</f>
        <v>Perfect</v>
      </c>
      <c r="B39" s="20">
        <v>38</v>
      </c>
      <c r="C39" s="11"/>
      <c r="D39" s="11"/>
      <c r="E39" s="11"/>
      <c r="F39" s="11"/>
      <c r="G39" s="11"/>
      <c r="H39" s="11"/>
      <c r="I39" s="11"/>
      <c r="J39" s="11"/>
      <c r="K39" s="11"/>
      <c r="L39" s="11"/>
      <c r="M39" s="11"/>
      <c r="N39" s="11"/>
      <c r="O39" s="11"/>
      <c r="P39" s="11"/>
      <c r="Q39" s="11"/>
    </row>
    <row r="40" spans="1:17" ht="19">
      <c r="A40" s="11"/>
      <c r="B40" s="11"/>
      <c r="C40" s="11"/>
      <c r="D40" s="11"/>
      <c r="E40" s="11"/>
      <c r="F40" s="11"/>
      <c r="G40" s="11"/>
      <c r="H40" s="11"/>
      <c r="I40" s="11"/>
      <c r="J40" s="11"/>
      <c r="K40" s="11"/>
      <c r="L40" s="11"/>
      <c r="M40" s="11"/>
      <c r="N40" s="11"/>
      <c r="O40" s="11"/>
      <c r="P40" s="11"/>
      <c r="Q40" s="1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D8F1C-880C-5446-9A3C-97C3B84F1FEE}">
  <sheetPr codeName="Sheet1"/>
  <dimension ref="A1"/>
  <sheetViews>
    <sheetView workbookViewId="0"/>
  </sheetViews>
  <sheetFormatPr baseColWidth="10" defaultRowHeight="16"/>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300BC-96A1-0846-9337-B3EEF600D80B}">
  <sheetPr codeName="Sheet22"/>
  <dimension ref="A1:AQ42"/>
  <sheetViews>
    <sheetView zoomScale="102" workbookViewId="0">
      <pane xSplit="2" ySplit="2" topLeftCell="AI3" activePane="bottomRight" state="frozen"/>
      <selection pane="topRight" activeCell="C1" sqref="C1"/>
      <selection pane="bottomLeft" activeCell="A3" sqref="A3"/>
      <selection pane="bottomRight" activeCell="O3" sqref="O3"/>
    </sheetView>
  </sheetViews>
  <sheetFormatPr baseColWidth="10" defaultRowHeight="19"/>
  <cols>
    <col min="1" max="1" width="10.83203125" style="1"/>
    <col min="2" max="2" width="10.83203125" style="22"/>
    <col min="3" max="16384" width="10.83203125" style="25"/>
  </cols>
  <sheetData>
    <row r="1" spans="1:43" s="11" customFormat="1">
      <c r="A1" s="103" t="s">
        <v>0</v>
      </c>
      <c r="B1" s="104" t="s">
        <v>12</v>
      </c>
      <c r="C1" s="105" t="s">
        <v>46</v>
      </c>
      <c r="D1" s="86" t="s">
        <v>47</v>
      </c>
      <c r="E1" s="87" t="s">
        <v>48</v>
      </c>
      <c r="F1" s="88" t="s">
        <v>49</v>
      </c>
      <c r="G1" s="89" t="s">
        <v>50</v>
      </c>
      <c r="H1" s="90" t="s">
        <v>51</v>
      </c>
      <c r="I1" s="91" t="s">
        <v>52</v>
      </c>
      <c r="J1" s="92" t="s">
        <v>53</v>
      </c>
      <c r="K1" s="100" t="s">
        <v>54</v>
      </c>
      <c r="L1" s="101" t="s">
        <v>55</v>
      </c>
      <c r="M1" s="102" t="s">
        <v>56</v>
      </c>
      <c r="N1" s="85" t="s">
        <v>57</v>
      </c>
      <c r="O1" s="106" t="s">
        <v>46</v>
      </c>
      <c r="P1" s="106"/>
      <c r="Q1" s="106"/>
      <c r="R1" s="106"/>
      <c r="S1" s="106"/>
      <c r="T1" s="99" t="s">
        <v>47</v>
      </c>
      <c r="U1" s="99"/>
      <c r="V1" s="93" t="s">
        <v>48</v>
      </c>
      <c r="W1" s="93"/>
      <c r="X1" s="93"/>
      <c r="Y1" s="94" t="s">
        <v>49</v>
      </c>
      <c r="Z1" s="94"/>
      <c r="AA1" s="95" t="s">
        <v>50</v>
      </c>
      <c r="AB1" s="95"/>
      <c r="AC1" s="96" t="s">
        <v>51</v>
      </c>
      <c r="AD1" s="96"/>
      <c r="AE1" s="96"/>
      <c r="AF1" s="97" t="s">
        <v>52</v>
      </c>
      <c r="AG1" s="97"/>
      <c r="AH1" s="98" t="s">
        <v>53</v>
      </c>
      <c r="AI1" s="98"/>
      <c r="AJ1" s="26" t="s">
        <v>54</v>
      </c>
      <c r="AK1" s="83" t="s">
        <v>55</v>
      </c>
      <c r="AL1" s="83"/>
      <c r="AM1" s="83"/>
      <c r="AN1" s="84" t="s">
        <v>56</v>
      </c>
      <c r="AO1" s="84"/>
      <c r="AP1" s="85" t="s">
        <v>57</v>
      </c>
      <c r="AQ1" s="85"/>
    </row>
    <row r="2" spans="1:43" s="11" customFormat="1">
      <c r="A2" s="103"/>
      <c r="B2" s="104"/>
      <c r="C2" s="105"/>
      <c r="D2" s="86"/>
      <c r="E2" s="87"/>
      <c r="F2" s="88"/>
      <c r="G2" s="89"/>
      <c r="H2" s="90"/>
      <c r="I2" s="91"/>
      <c r="J2" s="92"/>
      <c r="K2" s="100"/>
      <c r="L2" s="101"/>
      <c r="M2" s="102"/>
      <c r="N2" s="85"/>
      <c r="O2" s="11" t="s">
        <v>17</v>
      </c>
      <c r="P2" s="11" t="s">
        <v>18</v>
      </c>
      <c r="Q2" s="11" t="s">
        <v>19</v>
      </c>
      <c r="R2" s="11" t="s">
        <v>20</v>
      </c>
      <c r="S2" s="11" t="s">
        <v>21</v>
      </c>
      <c r="T2" s="11" t="s">
        <v>22</v>
      </c>
      <c r="U2" s="11" t="s">
        <v>23</v>
      </c>
      <c r="V2" s="11" t="s">
        <v>24</v>
      </c>
      <c r="W2" s="11" t="s">
        <v>25</v>
      </c>
      <c r="X2" s="11" t="s">
        <v>26</v>
      </c>
      <c r="Y2" s="11" t="s">
        <v>27</v>
      </c>
      <c r="Z2" s="11" t="s">
        <v>28</v>
      </c>
      <c r="AA2" s="11" t="s">
        <v>29</v>
      </c>
      <c r="AB2" s="11" t="s">
        <v>30</v>
      </c>
      <c r="AC2" s="11" t="s">
        <v>31</v>
      </c>
      <c r="AD2" s="11" t="s">
        <v>32</v>
      </c>
      <c r="AE2" s="11" t="s">
        <v>33</v>
      </c>
      <c r="AF2" s="11" t="s">
        <v>34</v>
      </c>
      <c r="AG2" s="11" t="s">
        <v>35</v>
      </c>
      <c r="AH2" s="11" t="s">
        <v>36</v>
      </c>
      <c r="AI2" s="11" t="s">
        <v>37</v>
      </c>
      <c r="AJ2" s="11" t="s">
        <v>38</v>
      </c>
      <c r="AK2" s="11" t="s">
        <v>39</v>
      </c>
      <c r="AL2" s="11" t="s">
        <v>40</v>
      </c>
      <c r="AM2" s="11" t="s">
        <v>41</v>
      </c>
      <c r="AN2" s="11" t="s">
        <v>42</v>
      </c>
      <c r="AO2" s="11" t="s">
        <v>43</v>
      </c>
      <c r="AP2" s="11" t="s">
        <v>44</v>
      </c>
      <c r="AQ2" s="11" t="s">
        <v>45</v>
      </c>
    </row>
    <row r="3" spans="1:43" s="11" customFormat="1">
      <c r="A3" s="23" t="str">
        <f>IF(ISTEXT(Home!A2), Home!A2, "")</f>
        <v/>
      </c>
      <c r="B3" s="20">
        <v>1</v>
      </c>
      <c r="C3" s="11" t="str">
        <f t="shared" ref="C3:C30" si="0">IF(ISNUMBER(AVERAGE(O3:S3)), AVERAGE(O3:S3),"")</f>
        <v/>
      </c>
      <c r="D3" s="11" t="str">
        <f>IF(ISNUMBER(AVERAGE(T3:U3)),AVERAGE(T3:U3),"")</f>
        <v/>
      </c>
      <c r="E3" s="11" t="str">
        <f>IF(ISNUMBER(AVERAGE(V3:X3)),AVERAGE(V3:X3),"")</f>
        <v/>
      </c>
      <c r="F3" s="11" t="str">
        <f>IF(ISNUMBER(AVERAGE(Y3:Z3)),AVERAGE(Y3:Z3),"")</f>
        <v/>
      </c>
      <c r="G3" s="11" t="str">
        <f>IF(ISNUMBER(AVERAGE(AA3:AB3)),AVERAGE(AA3:AB3),"")</f>
        <v/>
      </c>
      <c r="H3" s="11" t="str">
        <f>IF(ISNUMBER(AVERAGE(AC3:AE3)), AVERAGE(AC3:AE3),"")</f>
        <v/>
      </c>
      <c r="I3" s="11" t="str">
        <f>IF(ISNUMBER(AVERAGE(AF3:AG3)), AVERAGE(AF3:AG3),"")</f>
        <v/>
      </c>
      <c r="J3" s="11" t="str">
        <f>IF(ISNUMBER(AVERAGE(AH3:AI3)),AVERAGE(AH3:AI3),"")</f>
        <v/>
      </c>
      <c r="K3" s="11" t="str">
        <f>IF(ISNUMBER(AVERAGE(AJ3)), AVERAGE(AJ3),"")</f>
        <v/>
      </c>
      <c r="L3" s="11" t="str">
        <f>IF(ISNUMBER(AVERAGE(AK3:AM3)),AVERAGE(AK3:AM3),"")</f>
        <v/>
      </c>
      <c r="M3" s="11" t="str">
        <f>IF(ISNUMBER(AVERAGE(AN3:AO3)), AVERAGE(AN3:AO3),"")</f>
        <v/>
      </c>
      <c r="N3" s="11" t="str">
        <f>IF(ISNUMBER(AVERAGE(AP3:AQ3)), AVERAGE(AP3:AQ3),"")</f>
        <v/>
      </c>
    </row>
    <row r="4" spans="1:43" s="11" customFormat="1">
      <c r="A4" s="23" t="str">
        <f>IF(ISTEXT(Home!A3), Home!A3, "")</f>
        <v/>
      </c>
      <c r="B4" s="20">
        <v>2</v>
      </c>
      <c r="C4" s="11" t="str">
        <f t="shared" si="0"/>
        <v/>
      </c>
      <c r="D4" s="11" t="str">
        <f t="shared" ref="D4:D32" si="1">IF(ISNUMBER(AVERAGE(T4:U4)),AVERAGE(T4:U4),"")</f>
        <v/>
      </c>
      <c r="E4" s="11" t="str">
        <f t="shared" ref="E4:E32" si="2">IF(ISNUMBER(AVERAGE(V4:X4)),AVERAGE(V4:X4),"")</f>
        <v/>
      </c>
      <c r="F4" s="11" t="str">
        <f t="shared" ref="F4:F32" si="3">IF(ISNUMBER(AVERAGE(Y4:Z4)),AVERAGE(Y4:Z4),"")</f>
        <v/>
      </c>
      <c r="G4" s="11" t="str">
        <f t="shared" ref="G4:G32" si="4">IF(ISNUMBER(AVERAGE(AA4:AB4)),AVERAGE(AA4:AB4),"")</f>
        <v/>
      </c>
      <c r="H4" s="11" t="str">
        <f t="shared" ref="H4:H32" si="5">IF(ISNUMBER(AVERAGE(AC4:AE4)), AVERAGE(AC4:AE4),"")</f>
        <v/>
      </c>
      <c r="I4" s="11" t="str">
        <f t="shared" ref="I4:I32" si="6">IF(ISNUMBER(AVERAGE(AF4:AG4)), AVERAGE(AF4:AG4),"")</f>
        <v/>
      </c>
      <c r="J4" s="11" t="str">
        <f t="shared" ref="J4:J32" si="7">IF(ISNUMBER(AVERAGE(AH4:AI4)),AVERAGE(AH4:AI4),"")</f>
        <v/>
      </c>
      <c r="K4" s="11" t="str">
        <f t="shared" ref="K4:K32" si="8">IF(ISNUMBER(AVERAGE(AJ4)), AVERAGE(AJ4),"")</f>
        <v/>
      </c>
      <c r="L4" s="11" t="str">
        <f t="shared" ref="L4:L32" si="9">IF(ISNUMBER(AVERAGE(AK4:AM4)),AVERAGE(AK4:AM4),"")</f>
        <v/>
      </c>
      <c r="M4" s="11" t="str">
        <f t="shared" ref="M4:M32" si="10">IF(ISNUMBER(AVERAGE(AN4:AO4)), AVERAGE(AN4:AO4),"")</f>
        <v/>
      </c>
      <c r="N4" s="11" t="str">
        <f t="shared" ref="N4:N32" si="11">IF(ISNUMBER(AVERAGE(AP4:AQ4)), AVERAGE(AP4:AQ4),"")</f>
        <v/>
      </c>
    </row>
    <row r="5" spans="1:43" s="11" customFormat="1">
      <c r="A5" s="23" t="str">
        <f>IF(ISTEXT(Home!A4), Home!A4, "")</f>
        <v/>
      </c>
      <c r="B5" s="21">
        <v>3</v>
      </c>
      <c r="C5" s="11" t="str">
        <f t="shared" si="0"/>
        <v/>
      </c>
      <c r="D5" s="11" t="str">
        <f t="shared" si="1"/>
        <v/>
      </c>
      <c r="E5" s="11" t="str">
        <f t="shared" si="2"/>
        <v/>
      </c>
      <c r="F5" s="11" t="str">
        <f t="shared" si="3"/>
        <v/>
      </c>
      <c r="G5" s="11" t="str">
        <f t="shared" si="4"/>
        <v/>
      </c>
      <c r="H5" s="11" t="str">
        <f t="shared" si="5"/>
        <v/>
      </c>
      <c r="I5" s="11" t="str">
        <f t="shared" si="6"/>
        <v/>
      </c>
      <c r="J5" s="11" t="str">
        <f t="shared" si="7"/>
        <v/>
      </c>
      <c r="K5" s="11" t="str">
        <f t="shared" si="8"/>
        <v/>
      </c>
      <c r="L5" s="11" t="str">
        <f t="shared" si="9"/>
        <v/>
      </c>
      <c r="M5" s="11" t="str">
        <f t="shared" si="10"/>
        <v/>
      </c>
      <c r="N5" s="11" t="str">
        <f t="shared" si="11"/>
        <v/>
      </c>
    </row>
    <row r="6" spans="1:43" s="11" customFormat="1">
      <c r="A6" s="23" t="str">
        <f>IF(ISTEXT(Home!A5), Home!A5, "")</f>
        <v/>
      </c>
      <c r="B6" s="20">
        <v>4</v>
      </c>
      <c r="C6" s="11" t="str">
        <f t="shared" si="0"/>
        <v/>
      </c>
      <c r="D6" s="11" t="str">
        <f t="shared" si="1"/>
        <v/>
      </c>
      <c r="E6" s="11" t="str">
        <f t="shared" si="2"/>
        <v/>
      </c>
      <c r="F6" s="11" t="str">
        <f t="shared" si="3"/>
        <v/>
      </c>
      <c r="G6" s="11" t="str">
        <f t="shared" si="4"/>
        <v/>
      </c>
      <c r="H6" s="11" t="str">
        <f t="shared" si="5"/>
        <v/>
      </c>
      <c r="I6" s="11" t="str">
        <f t="shared" si="6"/>
        <v/>
      </c>
      <c r="J6" s="11" t="str">
        <f t="shared" si="7"/>
        <v/>
      </c>
      <c r="K6" s="11" t="str">
        <f t="shared" si="8"/>
        <v/>
      </c>
      <c r="L6" s="11" t="str">
        <f t="shared" si="9"/>
        <v/>
      </c>
      <c r="M6" s="11" t="str">
        <f t="shared" si="10"/>
        <v/>
      </c>
      <c r="N6" s="11" t="str">
        <f t="shared" si="11"/>
        <v/>
      </c>
    </row>
    <row r="7" spans="1:43" s="11" customFormat="1">
      <c r="A7" s="23" t="str">
        <f>IF(ISTEXT(Home!A6), Home!A6, "")</f>
        <v/>
      </c>
      <c r="B7" s="20">
        <v>5</v>
      </c>
      <c r="C7" s="11" t="str">
        <f t="shared" si="0"/>
        <v/>
      </c>
      <c r="D7" s="11" t="str">
        <f t="shared" si="1"/>
        <v/>
      </c>
      <c r="E7" s="11" t="str">
        <f t="shared" si="2"/>
        <v/>
      </c>
      <c r="F7" s="11" t="str">
        <f t="shared" si="3"/>
        <v/>
      </c>
      <c r="G7" s="11" t="str">
        <f t="shared" si="4"/>
        <v/>
      </c>
      <c r="H7" s="11" t="str">
        <f t="shared" si="5"/>
        <v/>
      </c>
      <c r="I7" s="11" t="str">
        <f t="shared" si="6"/>
        <v/>
      </c>
      <c r="J7" s="11" t="str">
        <f t="shared" si="7"/>
        <v/>
      </c>
      <c r="K7" s="11" t="str">
        <f t="shared" si="8"/>
        <v/>
      </c>
      <c r="L7" s="11" t="str">
        <f t="shared" si="9"/>
        <v/>
      </c>
      <c r="M7" s="11" t="str">
        <f t="shared" si="10"/>
        <v/>
      </c>
      <c r="N7" s="11" t="str">
        <f t="shared" si="11"/>
        <v/>
      </c>
    </row>
    <row r="8" spans="1:43" s="11" customFormat="1">
      <c r="A8" s="23" t="str">
        <f>IF(ISTEXT(Home!A7), Home!A7, "")</f>
        <v/>
      </c>
      <c r="B8" s="21">
        <v>6</v>
      </c>
      <c r="C8" s="11" t="str">
        <f t="shared" si="0"/>
        <v/>
      </c>
      <c r="D8" s="11" t="str">
        <f t="shared" si="1"/>
        <v/>
      </c>
      <c r="E8" s="11" t="str">
        <f t="shared" si="2"/>
        <v/>
      </c>
      <c r="F8" s="11" t="str">
        <f t="shared" si="3"/>
        <v/>
      </c>
      <c r="G8" s="11" t="str">
        <f t="shared" si="4"/>
        <v/>
      </c>
      <c r="H8" s="11" t="str">
        <f t="shared" si="5"/>
        <v/>
      </c>
      <c r="I8" s="11" t="str">
        <f t="shared" si="6"/>
        <v/>
      </c>
      <c r="J8" s="11" t="str">
        <f t="shared" si="7"/>
        <v/>
      </c>
      <c r="K8" s="11" t="str">
        <f t="shared" si="8"/>
        <v/>
      </c>
      <c r="L8" s="11" t="str">
        <f t="shared" si="9"/>
        <v/>
      </c>
      <c r="M8" s="11" t="str">
        <f t="shared" si="10"/>
        <v/>
      </c>
      <c r="N8" s="11" t="str">
        <f t="shared" si="11"/>
        <v/>
      </c>
    </row>
    <row r="9" spans="1:43" s="11" customFormat="1">
      <c r="A9" s="23" t="str">
        <f>IF(ISTEXT(Home!A8), Home!A8, "")</f>
        <v/>
      </c>
      <c r="B9" s="20">
        <v>7</v>
      </c>
      <c r="C9" s="11" t="str">
        <f t="shared" si="0"/>
        <v/>
      </c>
      <c r="D9" s="11" t="str">
        <f t="shared" si="1"/>
        <v/>
      </c>
      <c r="E9" s="11" t="str">
        <f t="shared" si="2"/>
        <v/>
      </c>
      <c r="F9" s="11" t="str">
        <f t="shared" si="3"/>
        <v/>
      </c>
      <c r="G9" s="11" t="str">
        <f t="shared" si="4"/>
        <v/>
      </c>
      <c r="H9" s="11" t="str">
        <f t="shared" si="5"/>
        <v/>
      </c>
      <c r="I9" s="11" t="str">
        <f t="shared" si="6"/>
        <v/>
      </c>
      <c r="J9" s="11" t="str">
        <f t="shared" si="7"/>
        <v/>
      </c>
      <c r="K9" s="11" t="str">
        <f t="shared" si="8"/>
        <v/>
      </c>
      <c r="L9" s="11" t="str">
        <f t="shared" si="9"/>
        <v/>
      </c>
      <c r="M9" s="11" t="str">
        <f t="shared" si="10"/>
        <v/>
      </c>
      <c r="N9" s="11" t="str">
        <f t="shared" si="11"/>
        <v/>
      </c>
    </row>
    <row r="10" spans="1:43" s="11" customFormat="1">
      <c r="A10" s="23" t="str">
        <f>IF(ISTEXT(Home!A9), Home!A9, "")</f>
        <v/>
      </c>
      <c r="B10" s="20">
        <v>8</v>
      </c>
      <c r="C10" s="11" t="str">
        <f t="shared" si="0"/>
        <v/>
      </c>
      <c r="D10" s="11" t="str">
        <f t="shared" si="1"/>
        <v/>
      </c>
      <c r="E10" s="11" t="str">
        <f t="shared" si="2"/>
        <v/>
      </c>
      <c r="F10" s="11" t="str">
        <f t="shared" si="3"/>
        <v/>
      </c>
      <c r="G10" s="11" t="str">
        <f t="shared" si="4"/>
        <v/>
      </c>
      <c r="H10" s="11" t="str">
        <f t="shared" si="5"/>
        <v/>
      </c>
      <c r="I10" s="11" t="str">
        <f t="shared" si="6"/>
        <v/>
      </c>
      <c r="J10" s="11" t="str">
        <f t="shared" si="7"/>
        <v/>
      </c>
      <c r="K10" s="11" t="str">
        <f t="shared" si="8"/>
        <v/>
      </c>
      <c r="L10" s="11" t="str">
        <f t="shared" si="9"/>
        <v/>
      </c>
      <c r="M10" s="11" t="str">
        <f t="shared" si="10"/>
        <v/>
      </c>
      <c r="N10" s="11" t="str">
        <f t="shared" si="11"/>
        <v/>
      </c>
    </row>
    <row r="11" spans="1:43" s="11" customFormat="1">
      <c r="A11" s="23" t="str">
        <f>IF(ISTEXT(Home!A10), Home!A10, "")</f>
        <v/>
      </c>
      <c r="B11" s="21">
        <v>9</v>
      </c>
      <c r="C11" s="11" t="str">
        <f t="shared" si="0"/>
        <v/>
      </c>
      <c r="D11" s="11" t="str">
        <f t="shared" si="1"/>
        <v/>
      </c>
      <c r="E11" s="11" t="str">
        <f t="shared" si="2"/>
        <v/>
      </c>
      <c r="F11" s="11" t="str">
        <f t="shared" si="3"/>
        <v/>
      </c>
      <c r="G11" s="11" t="str">
        <f t="shared" si="4"/>
        <v/>
      </c>
      <c r="H11" s="11" t="str">
        <f t="shared" si="5"/>
        <v/>
      </c>
      <c r="I11" s="11" t="str">
        <f t="shared" si="6"/>
        <v/>
      </c>
      <c r="J11" s="11" t="str">
        <f t="shared" si="7"/>
        <v/>
      </c>
      <c r="K11" s="11" t="str">
        <f t="shared" si="8"/>
        <v/>
      </c>
      <c r="L11" s="11" t="str">
        <f t="shared" si="9"/>
        <v/>
      </c>
      <c r="M11" s="11" t="str">
        <f t="shared" si="10"/>
        <v/>
      </c>
      <c r="N11" s="11" t="str">
        <f t="shared" si="11"/>
        <v/>
      </c>
    </row>
    <row r="12" spans="1:43" s="11" customFormat="1">
      <c r="A12" s="23" t="str">
        <f>IF(ISTEXT(Home!A11), Home!A11, "")</f>
        <v/>
      </c>
      <c r="B12" s="20">
        <v>10</v>
      </c>
      <c r="C12" s="11" t="str">
        <f t="shared" si="0"/>
        <v/>
      </c>
      <c r="D12" s="11" t="str">
        <f t="shared" si="1"/>
        <v/>
      </c>
      <c r="E12" s="11" t="str">
        <f t="shared" si="2"/>
        <v/>
      </c>
      <c r="F12" s="11" t="str">
        <f t="shared" si="3"/>
        <v/>
      </c>
      <c r="G12" s="11" t="str">
        <f t="shared" si="4"/>
        <v/>
      </c>
      <c r="H12" s="11" t="str">
        <f t="shared" si="5"/>
        <v/>
      </c>
      <c r="I12" s="11" t="str">
        <f t="shared" si="6"/>
        <v/>
      </c>
      <c r="J12" s="11" t="str">
        <f t="shared" si="7"/>
        <v/>
      </c>
      <c r="K12" s="11" t="str">
        <f t="shared" si="8"/>
        <v/>
      </c>
      <c r="L12" s="11" t="str">
        <f t="shared" si="9"/>
        <v/>
      </c>
      <c r="M12" s="11" t="str">
        <f t="shared" si="10"/>
        <v/>
      </c>
      <c r="N12" s="11" t="str">
        <f t="shared" si="11"/>
        <v/>
      </c>
    </row>
    <row r="13" spans="1:43" s="11" customFormat="1">
      <c r="A13" s="23" t="str">
        <f>IF(ISTEXT(Home!A12), Home!A12, "")</f>
        <v/>
      </c>
      <c r="B13" s="20">
        <v>11</v>
      </c>
      <c r="C13" s="11" t="str">
        <f t="shared" si="0"/>
        <v/>
      </c>
      <c r="D13" s="11" t="str">
        <f t="shared" si="1"/>
        <v/>
      </c>
      <c r="E13" s="11" t="str">
        <f t="shared" si="2"/>
        <v/>
      </c>
      <c r="F13" s="11" t="str">
        <f t="shared" si="3"/>
        <v/>
      </c>
      <c r="G13" s="11" t="str">
        <f t="shared" si="4"/>
        <v/>
      </c>
      <c r="H13" s="11" t="str">
        <f t="shared" si="5"/>
        <v/>
      </c>
      <c r="I13" s="11" t="str">
        <f t="shared" si="6"/>
        <v/>
      </c>
      <c r="J13" s="11" t="str">
        <f t="shared" si="7"/>
        <v/>
      </c>
      <c r="K13" s="11" t="str">
        <f t="shared" si="8"/>
        <v/>
      </c>
      <c r="L13" s="11" t="str">
        <f t="shared" si="9"/>
        <v/>
      </c>
      <c r="M13" s="11" t="str">
        <f t="shared" si="10"/>
        <v/>
      </c>
      <c r="N13" s="11" t="str">
        <f t="shared" si="11"/>
        <v/>
      </c>
    </row>
    <row r="14" spans="1:43" s="11" customFormat="1">
      <c r="A14" s="23" t="str">
        <f>IF(ISTEXT(Home!A13), Home!A13, "")</f>
        <v/>
      </c>
      <c r="B14" s="21">
        <v>12</v>
      </c>
      <c r="C14" s="11" t="str">
        <f t="shared" si="0"/>
        <v/>
      </c>
      <c r="D14" s="11" t="str">
        <f t="shared" si="1"/>
        <v/>
      </c>
      <c r="E14" s="11" t="str">
        <f t="shared" si="2"/>
        <v/>
      </c>
      <c r="F14" s="11" t="str">
        <f t="shared" si="3"/>
        <v/>
      </c>
      <c r="G14" s="11" t="str">
        <f t="shared" si="4"/>
        <v/>
      </c>
      <c r="H14" s="11" t="str">
        <f t="shared" si="5"/>
        <v/>
      </c>
      <c r="I14" s="11" t="str">
        <f t="shared" si="6"/>
        <v/>
      </c>
      <c r="J14" s="11" t="str">
        <f t="shared" si="7"/>
        <v/>
      </c>
      <c r="K14" s="11" t="str">
        <f t="shared" si="8"/>
        <v/>
      </c>
      <c r="L14" s="11" t="str">
        <f t="shared" si="9"/>
        <v/>
      </c>
      <c r="M14" s="11" t="str">
        <f t="shared" si="10"/>
        <v/>
      </c>
      <c r="N14" s="11" t="str">
        <f t="shared" si="11"/>
        <v/>
      </c>
    </row>
    <row r="15" spans="1:43" s="11" customFormat="1">
      <c r="A15" s="23" t="str">
        <f>IF(ISTEXT(Home!A14), Home!A14, "")</f>
        <v/>
      </c>
      <c r="B15" s="20">
        <v>13</v>
      </c>
      <c r="C15" s="11" t="str">
        <f t="shared" si="0"/>
        <v/>
      </c>
      <c r="D15" s="11" t="str">
        <f t="shared" si="1"/>
        <v/>
      </c>
      <c r="E15" s="11" t="str">
        <f t="shared" si="2"/>
        <v/>
      </c>
      <c r="F15" s="11" t="str">
        <f t="shared" si="3"/>
        <v/>
      </c>
      <c r="G15" s="11" t="str">
        <f t="shared" si="4"/>
        <v/>
      </c>
      <c r="H15" s="11" t="str">
        <f t="shared" si="5"/>
        <v/>
      </c>
      <c r="I15" s="11" t="str">
        <f t="shared" si="6"/>
        <v/>
      </c>
      <c r="J15" s="11" t="str">
        <f t="shared" si="7"/>
        <v/>
      </c>
      <c r="K15" s="11" t="str">
        <f t="shared" si="8"/>
        <v/>
      </c>
      <c r="L15" s="11" t="str">
        <f t="shared" si="9"/>
        <v/>
      </c>
      <c r="M15" s="11" t="str">
        <f t="shared" si="10"/>
        <v/>
      </c>
      <c r="N15" s="11" t="str">
        <f t="shared" si="11"/>
        <v/>
      </c>
    </row>
    <row r="16" spans="1:43" s="11" customFormat="1">
      <c r="A16" s="23" t="str">
        <f>IF(ISTEXT(Home!A15), Home!A15, "")</f>
        <v/>
      </c>
      <c r="B16" s="20">
        <v>14</v>
      </c>
      <c r="C16" s="11" t="str">
        <f t="shared" si="0"/>
        <v/>
      </c>
      <c r="D16" s="11" t="str">
        <f t="shared" si="1"/>
        <v/>
      </c>
      <c r="E16" s="11" t="str">
        <f t="shared" si="2"/>
        <v/>
      </c>
      <c r="F16" s="11" t="str">
        <f t="shared" si="3"/>
        <v/>
      </c>
      <c r="G16" s="11" t="str">
        <f t="shared" si="4"/>
        <v/>
      </c>
      <c r="H16" s="11" t="str">
        <f t="shared" si="5"/>
        <v/>
      </c>
      <c r="I16" s="11" t="str">
        <f t="shared" si="6"/>
        <v/>
      </c>
      <c r="J16" s="11" t="str">
        <f t="shared" si="7"/>
        <v/>
      </c>
      <c r="K16" s="11" t="str">
        <f t="shared" si="8"/>
        <v/>
      </c>
      <c r="L16" s="11" t="str">
        <f t="shared" si="9"/>
        <v/>
      </c>
      <c r="M16" s="11" t="str">
        <f t="shared" si="10"/>
        <v/>
      </c>
      <c r="N16" s="11" t="str">
        <f t="shared" si="11"/>
        <v/>
      </c>
    </row>
    <row r="17" spans="1:14" s="11" customFormat="1">
      <c r="A17" s="23" t="str">
        <f>IF(ISTEXT(Home!A16), Home!A16, "")</f>
        <v/>
      </c>
      <c r="B17" s="21">
        <v>15</v>
      </c>
      <c r="C17" s="11" t="str">
        <f t="shared" si="0"/>
        <v/>
      </c>
      <c r="D17" s="11" t="str">
        <f t="shared" si="1"/>
        <v/>
      </c>
      <c r="E17" s="11" t="str">
        <f t="shared" si="2"/>
        <v/>
      </c>
      <c r="F17" s="11" t="str">
        <f t="shared" si="3"/>
        <v/>
      </c>
      <c r="G17" s="11" t="str">
        <f t="shared" si="4"/>
        <v/>
      </c>
      <c r="H17" s="11" t="str">
        <f t="shared" si="5"/>
        <v/>
      </c>
      <c r="I17" s="11" t="str">
        <f t="shared" si="6"/>
        <v/>
      </c>
      <c r="J17" s="11" t="str">
        <f t="shared" si="7"/>
        <v/>
      </c>
      <c r="K17" s="11" t="str">
        <f t="shared" si="8"/>
        <v/>
      </c>
      <c r="L17" s="11" t="str">
        <f t="shared" si="9"/>
        <v/>
      </c>
      <c r="M17" s="11" t="str">
        <f t="shared" si="10"/>
        <v/>
      </c>
      <c r="N17" s="11" t="str">
        <f t="shared" si="11"/>
        <v/>
      </c>
    </row>
    <row r="18" spans="1:14" s="11" customFormat="1">
      <c r="A18" s="23" t="str">
        <f>IF(ISTEXT(Home!A17), Home!A17, "")</f>
        <v/>
      </c>
      <c r="B18" s="20">
        <v>16</v>
      </c>
      <c r="C18" s="11" t="str">
        <f t="shared" si="0"/>
        <v/>
      </c>
      <c r="D18" s="11" t="str">
        <f t="shared" si="1"/>
        <v/>
      </c>
      <c r="E18" s="11" t="str">
        <f t="shared" si="2"/>
        <v/>
      </c>
      <c r="F18" s="11" t="str">
        <f t="shared" si="3"/>
        <v/>
      </c>
      <c r="G18" s="11" t="str">
        <f t="shared" si="4"/>
        <v/>
      </c>
      <c r="H18" s="11" t="str">
        <f t="shared" si="5"/>
        <v/>
      </c>
      <c r="I18" s="11" t="str">
        <f t="shared" si="6"/>
        <v/>
      </c>
      <c r="J18" s="11" t="str">
        <f t="shared" si="7"/>
        <v/>
      </c>
      <c r="K18" s="11" t="str">
        <f t="shared" si="8"/>
        <v/>
      </c>
      <c r="L18" s="11" t="str">
        <f t="shared" si="9"/>
        <v/>
      </c>
      <c r="M18" s="11" t="str">
        <f t="shared" si="10"/>
        <v/>
      </c>
      <c r="N18" s="11" t="str">
        <f t="shared" si="11"/>
        <v/>
      </c>
    </row>
    <row r="19" spans="1:14" s="11" customFormat="1">
      <c r="A19" s="23" t="str">
        <f>IF(ISTEXT(Home!A18), Home!A18, "")</f>
        <v/>
      </c>
      <c r="B19" s="20">
        <v>17</v>
      </c>
      <c r="C19" s="11" t="str">
        <f t="shared" si="0"/>
        <v/>
      </c>
      <c r="D19" s="11" t="str">
        <f t="shared" si="1"/>
        <v/>
      </c>
      <c r="E19" s="11" t="str">
        <f t="shared" si="2"/>
        <v/>
      </c>
      <c r="F19" s="11" t="str">
        <f t="shared" si="3"/>
        <v/>
      </c>
      <c r="G19" s="11" t="str">
        <f t="shared" si="4"/>
        <v/>
      </c>
      <c r="H19" s="11" t="str">
        <f t="shared" si="5"/>
        <v/>
      </c>
      <c r="I19" s="11" t="str">
        <f t="shared" si="6"/>
        <v/>
      </c>
      <c r="J19" s="11" t="str">
        <f t="shared" si="7"/>
        <v/>
      </c>
      <c r="K19" s="11" t="str">
        <f t="shared" si="8"/>
        <v/>
      </c>
      <c r="L19" s="11" t="str">
        <f t="shared" si="9"/>
        <v/>
      </c>
      <c r="M19" s="11" t="str">
        <f t="shared" si="10"/>
        <v/>
      </c>
      <c r="N19" s="11" t="str">
        <f t="shared" si="11"/>
        <v/>
      </c>
    </row>
    <row r="20" spans="1:14" s="11" customFormat="1">
      <c r="A20" s="23" t="str">
        <f>IF(ISTEXT(Home!A19), Home!A19, "")</f>
        <v/>
      </c>
      <c r="B20" s="21">
        <v>18</v>
      </c>
      <c r="C20" s="11" t="str">
        <f t="shared" si="0"/>
        <v/>
      </c>
      <c r="D20" s="11" t="str">
        <f t="shared" si="1"/>
        <v/>
      </c>
      <c r="E20" s="11" t="str">
        <f t="shared" si="2"/>
        <v/>
      </c>
      <c r="F20" s="11" t="str">
        <f t="shared" si="3"/>
        <v/>
      </c>
      <c r="G20" s="11" t="str">
        <f t="shared" si="4"/>
        <v/>
      </c>
      <c r="H20" s="11" t="str">
        <f t="shared" si="5"/>
        <v/>
      </c>
      <c r="I20" s="11" t="str">
        <f t="shared" si="6"/>
        <v/>
      </c>
      <c r="J20" s="11" t="str">
        <f t="shared" si="7"/>
        <v/>
      </c>
      <c r="K20" s="11" t="str">
        <f t="shared" si="8"/>
        <v/>
      </c>
      <c r="L20" s="11" t="str">
        <f t="shared" si="9"/>
        <v/>
      </c>
      <c r="M20" s="11" t="str">
        <f t="shared" si="10"/>
        <v/>
      </c>
      <c r="N20" s="11" t="str">
        <f t="shared" si="11"/>
        <v/>
      </c>
    </row>
    <row r="21" spans="1:14" s="11" customFormat="1">
      <c r="A21" s="23" t="str">
        <f>IF(ISTEXT(Home!A20), Home!A20, "")</f>
        <v/>
      </c>
      <c r="B21" s="20">
        <v>19</v>
      </c>
      <c r="C21" s="11" t="str">
        <f t="shared" si="0"/>
        <v/>
      </c>
      <c r="D21" s="11" t="str">
        <f t="shared" si="1"/>
        <v/>
      </c>
      <c r="E21" s="11" t="str">
        <f t="shared" si="2"/>
        <v/>
      </c>
      <c r="F21" s="11" t="str">
        <f t="shared" si="3"/>
        <v/>
      </c>
      <c r="G21" s="11" t="str">
        <f t="shared" si="4"/>
        <v/>
      </c>
      <c r="H21" s="11" t="str">
        <f t="shared" si="5"/>
        <v/>
      </c>
      <c r="I21" s="11" t="str">
        <f t="shared" si="6"/>
        <v/>
      </c>
      <c r="J21" s="11" t="str">
        <f t="shared" si="7"/>
        <v/>
      </c>
      <c r="K21" s="11" t="str">
        <f t="shared" si="8"/>
        <v/>
      </c>
      <c r="L21" s="11" t="str">
        <f t="shared" si="9"/>
        <v/>
      </c>
      <c r="M21" s="11" t="str">
        <f t="shared" si="10"/>
        <v/>
      </c>
      <c r="N21" s="11" t="str">
        <f t="shared" si="11"/>
        <v/>
      </c>
    </row>
    <row r="22" spans="1:14" s="11" customFormat="1">
      <c r="A22" s="23" t="str">
        <f>IF(ISTEXT(Home!A21), Home!A21, "")</f>
        <v/>
      </c>
      <c r="B22" s="20">
        <v>20</v>
      </c>
      <c r="C22" s="11" t="str">
        <f t="shared" si="0"/>
        <v/>
      </c>
      <c r="D22" s="11" t="str">
        <f t="shared" si="1"/>
        <v/>
      </c>
      <c r="E22" s="11" t="str">
        <f t="shared" si="2"/>
        <v/>
      </c>
      <c r="F22" s="11" t="str">
        <f t="shared" si="3"/>
        <v/>
      </c>
      <c r="G22" s="11" t="str">
        <f t="shared" si="4"/>
        <v/>
      </c>
      <c r="H22" s="11" t="str">
        <f t="shared" si="5"/>
        <v/>
      </c>
      <c r="I22" s="11" t="str">
        <f t="shared" si="6"/>
        <v/>
      </c>
      <c r="J22" s="11" t="str">
        <f t="shared" si="7"/>
        <v/>
      </c>
      <c r="K22" s="11" t="str">
        <f t="shared" si="8"/>
        <v/>
      </c>
      <c r="L22" s="11" t="str">
        <f t="shared" si="9"/>
        <v/>
      </c>
      <c r="M22" s="11" t="str">
        <f t="shared" si="10"/>
        <v/>
      </c>
      <c r="N22" s="11" t="str">
        <f t="shared" si="11"/>
        <v/>
      </c>
    </row>
    <row r="23" spans="1:14" s="11" customFormat="1">
      <c r="A23" s="23" t="str">
        <f>IF(ISTEXT(Home!A22), Home!A22, "")</f>
        <v/>
      </c>
      <c r="B23" s="21">
        <v>21</v>
      </c>
      <c r="C23" s="11" t="str">
        <f t="shared" si="0"/>
        <v/>
      </c>
      <c r="D23" s="11" t="str">
        <f t="shared" si="1"/>
        <v/>
      </c>
      <c r="E23" s="11" t="str">
        <f t="shared" si="2"/>
        <v/>
      </c>
      <c r="F23" s="11" t="str">
        <f t="shared" si="3"/>
        <v/>
      </c>
      <c r="G23" s="11" t="str">
        <f t="shared" si="4"/>
        <v/>
      </c>
      <c r="H23" s="11" t="str">
        <f t="shared" si="5"/>
        <v/>
      </c>
      <c r="I23" s="11" t="str">
        <f t="shared" si="6"/>
        <v/>
      </c>
      <c r="J23" s="11" t="str">
        <f t="shared" si="7"/>
        <v/>
      </c>
      <c r="K23" s="11" t="str">
        <f t="shared" si="8"/>
        <v/>
      </c>
      <c r="L23" s="11" t="str">
        <f t="shared" si="9"/>
        <v/>
      </c>
      <c r="M23" s="11" t="str">
        <f t="shared" si="10"/>
        <v/>
      </c>
      <c r="N23" s="11" t="str">
        <f t="shared" si="11"/>
        <v/>
      </c>
    </row>
    <row r="24" spans="1:14" s="11" customFormat="1">
      <c r="A24" s="23" t="str">
        <f>IF(ISTEXT(Home!A23), Home!A23, "")</f>
        <v/>
      </c>
      <c r="B24" s="20">
        <v>22</v>
      </c>
      <c r="C24" s="11" t="str">
        <f t="shared" si="0"/>
        <v/>
      </c>
      <c r="D24" s="11" t="str">
        <f t="shared" si="1"/>
        <v/>
      </c>
      <c r="E24" s="11" t="str">
        <f t="shared" si="2"/>
        <v/>
      </c>
      <c r="F24" s="11" t="str">
        <f t="shared" si="3"/>
        <v/>
      </c>
      <c r="G24" s="11" t="str">
        <f t="shared" si="4"/>
        <v/>
      </c>
      <c r="H24" s="11" t="str">
        <f t="shared" si="5"/>
        <v/>
      </c>
      <c r="I24" s="11" t="str">
        <f t="shared" si="6"/>
        <v/>
      </c>
      <c r="J24" s="11" t="str">
        <f t="shared" si="7"/>
        <v/>
      </c>
      <c r="K24" s="11" t="str">
        <f t="shared" si="8"/>
        <v/>
      </c>
      <c r="L24" s="11" t="str">
        <f t="shared" si="9"/>
        <v/>
      </c>
      <c r="M24" s="11" t="str">
        <f t="shared" si="10"/>
        <v/>
      </c>
      <c r="N24" s="11" t="str">
        <f t="shared" si="11"/>
        <v/>
      </c>
    </row>
    <row r="25" spans="1:14" s="11" customFormat="1">
      <c r="A25" s="23" t="str">
        <f>IF(ISTEXT(Home!A24), Home!A24, "")</f>
        <v/>
      </c>
      <c r="B25" s="20">
        <v>23</v>
      </c>
      <c r="C25" s="11" t="str">
        <f t="shared" si="0"/>
        <v/>
      </c>
      <c r="D25" s="11" t="str">
        <f t="shared" si="1"/>
        <v/>
      </c>
      <c r="E25" s="11" t="str">
        <f t="shared" si="2"/>
        <v/>
      </c>
      <c r="F25" s="11" t="str">
        <f t="shared" si="3"/>
        <v/>
      </c>
      <c r="G25" s="11" t="str">
        <f t="shared" si="4"/>
        <v/>
      </c>
      <c r="H25" s="11" t="str">
        <f t="shared" si="5"/>
        <v/>
      </c>
      <c r="I25" s="11" t="str">
        <f t="shared" si="6"/>
        <v/>
      </c>
      <c r="J25" s="11" t="str">
        <f t="shared" si="7"/>
        <v/>
      </c>
      <c r="K25" s="11" t="str">
        <f t="shared" si="8"/>
        <v/>
      </c>
      <c r="L25" s="11" t="str">
        <f t="shared" si="9"/>
        <v/>
      </c>
      <c r="M25" s="11" t="str">
        <f t="shared" si="10"/>
        <v/>
      </c>
      <c r="N25" s="11" t="str">
        <f t="shared" si="11"/>
        <v/>
      </c>
    </row>
    <row r="26" spans="1:14" s="11" customFormat="1">
      <c r="A26" s="23" t="str">
        <f>IF(ISTEXT(Home!A25), Home!A25, "")</f>
        <v/>
      </c>
      <c r="B26" s="21">
        <v>24</v>
      </c>
      <c r="C26" s="11" t="str">
        <f t="shared" si="0"/>
        <v/>
      </c>
      <c r="D26" s="11" t="str">
        <f t="shared" si="1"/>
        <v/>
      </c>
      <c r="E26" s="11" t="str">
        <f t="shared" si="2"/>
        <v/>
      </c>
      <c r="F26" s="11" t="str">
        <f t="shared" si="3"/>
        <v/>
      </c>
      <c r="G26" s="11" t="str">
        <f t="shared" si="4"/>
        <v/>
      </c>
      <c r="H26" s="11" t="str">
        <f t="shared" si="5"/>
        <v/>
      </c>
      <c r="I26" s="11" t="str">
        <f t="shared" si="6"/>
        <v/>
      </c>
      <c r="J26" s="11" t="str">
        <f t="shared" si="7"/>
        <v/>
      </c>
      <c r="K26" s="11" t="str">
        <f t="shared" si="8"/>
        <v/>
      </c>
      <c r="L26" s="11" t="str">
        <f t="shared" si="9"/>
        <v/>
      </c>
      <c r="M26" s="11" t="str">
        <f t="shared" si="10"/>
        <v/>
      </c>
      <c r="N26" s="11" t="str">
        <f t="shared" si="11"/>
        <v/>
      </c>
    </row>
    <row r="27" spans="1:14" s="11" customFormat="1">
      <c r="A27" s="23" t="str">
        <f>IF(ISTEXT(Home!A26), Home!A26, "")</f>
        <v/>
      </c>
      <c r="B27" s="20">
        <v>25</v>
      </c>
      <c r="C27" s="11" t="str">
        <f t="shared" si="0"/>
        <v/>
      </c>
      <c r="D27" s="11" t="str">
        <f t="shared" si="1"/>
        <v/>
      </c>
      <c r="E27" s="11" t="str">
        <f t="shared" si="2"/>
        <v/>
      </c>
      <c r="F27" s="11" t="str">
        <f t="shared" si="3"/>
        <v/>
      </c>
      <c r="G27" s="11" t="str">
        <f t="shared" si="4"/>
        <v/>
      </c>
      <c r="H27" s="11" t="str">
        <f t="shared" si="5"/>
        <v/>
      </c>
      <c r="I27" s="11" t="str">
        <f t="shared" si="6"/>
        <v/>
      </c>
      <c r="J27" s="11" t="str">
        <f t="shared" si="7"/>
        <v/>
      </c>
      <c r="K27" s="11" t="str">
        <f t="shared" si="8"/>
        <v/>
      </c>
      <c r="L27" s="11" t="str">
        <f t="shared" si="9"/>
        <v/>
      </c>
      <c r="M27" s="11" t="str">
        <f t="shared" si="10"/>
        <v/>
      </c>
      <c r="N27" s="11" t="str">
        <f t="shared" si="11"/>
        <v/>
      </c>
    </row>
    <row r="28" spans="1:14" s="11" customFormat="1">
      <c r="A28" s="23" t="str">
        <f>IF(ISTEXT(Home!A27), Home!A27, "")</f>
        <v/>
      </c>
      <c r="B28" s="20">
        <v>26</v>
      </c>
      <c r="C28" s="11" t="str">
        <f t="shared" si="0"/>
        <v/>
      </c>
      <c r="D28" s="11" t="str">
        <f t="shared" si="1"/>
        <v/>
      </c>
      <c r="E28" s="11" t="str">
        <f t="shared" si="2"/>
        <v/>
      </c>
      <c r="F28" s="11" t="str">
        <f t="shared" si="3"/>
        <v/>
      </c>
      <c r="G28" s="11" t="str">
        <f t="shared" si="4"/>
        <v/>
      </c>
      <c r="H28" s="11" t="str">
        <f t="shared" si="5"/>
        <v/>
      </c>
      <c r="I28" s="11" t="str">
        <f t="shared" si="6"/>
        <v/>
      </c>
      <c r="J28" s="11" t="str">
        <f t="shared" si="7"/>
        <v/>
      </c>
      <c r="K28" s="11" t="str">
        <f t="shared" si="8"/>
        <v/>
      </c>
      <c r="L28" s="11" t="str">
        <f t="shared" si="9"/>
        <v/>
      </c>
      <c r="M28" s="11" t="str">
        <f t="shared" si="10"/>
        <v/>
      </c>
      <c r="N28" s="11" t="str">
        <f t="shared" si="11"/>
        <v/>
      </c>
    </row>
    <row r="29" spans="1:14" s="11" customFormat="1">
      <c r="A29" s="23" t="str">
        <f>IF(ISTEXT(Home!A28), Home!A28, "")</f>
        <v/>
      </c>
      <c r="B29" s="21">
        <v>27</v>
      </c>
      <c r="C29" s="11" t="str">
        <f t="shared" si="0"/>
        <v/>
      </c>
      <c r="D29" s="11" t="str">
        <f t="shared" si="1"/>
        <v/>
      </c>
      <c r="E29" s="11" t="str">
        <f t="shared" si="2"/>
        <v/>
      </c>
      <c r="F29" s="11" t="str">
        <f t="shared" si="3"/>
        <v/>
      </c>
      <c r="G29" s="11" t="str">
        <f t="shared" si="4"/>
        <v/>
      </c>
      <c r="H29" s="11" t="str">
        <f t="shared" si="5"/>
        <v/>
      </c>
      <c r="I29" s="11" t="str">
        <f t="shared" si="6"/>
        <v/>
      </c>
      <c r="J29" s="11" t="str">
        <f t="shared" si="7"/>
        <v/>
      </c>
      <c r="K29" s="11" t="str">
        <f t="shared" si="8"/>
        <v/>
      </c>
      <c r="L29" s="11" t="str">
        <f t="shared" si="9"/>
        <v/>
      </c>
      <c r="M29" s="11" t="str">
        <f t="shared" si="10"/>
        <v/>
      </c>
      <c r="N29" s="11" t="str">
        <f t="shared" si="11"/>
        <v/>
      </c>
    </row>
    <row r="30" spans="1:14" s="11" customFormat="1">
      <c r="A30" s="23" t="str">
        <f>IF(ISTEXT(Home!A29), Home!A29, "")</f>
        <v/>
      </c>
      <c r="B30" s="20">
        <v>28</v>
      </c>
      <c r="C30" s="11" t="str">
        <f t="shared" si="0"/>
        <v/>
      </c>
      <c r="D30" s="11" t="str">
        <f t="shared" si="1"/>
        <v/>
      </c>
      <c r="E30" s="11" t="str">
        <f t="shared" si="2"/>
        <v/>
      </c>
      <c r="F30" s="11" t="str">
        <f t="shared" si="3"/>
        <v/>
      </c>
      <c r="G30" s="11" t="str">
        <f t="shared" si="4"/>
        <v/>
      </c>
      <c r="H30" s="11" t="str">
        <f t="shared" si="5"/>
        <v/>
      </c>
      <c r="I30" s="11" t="str">
        <f t="shared" si="6"/>
        <v/>
      </c>
      <c r="J30" s="11" t="str">
        <f t="shared" si="7"/>
        <v/>
      </c>
      <c r="K30" s="11" t="str">
        <f t="shared" si="8"/>
        <v/>
      </c>
      <c r="L30" s="11" t="str">
        <f t="shared" si="9"/>
        <v/>
      </c>
      <c r="M30" s="11" t="str">
        <f t="shared" si="10"/>
        <v/>
      </c>
      <c r="N30" s="11" t="str">
        <f t="shared" si="11"/>
        <v/>
      </c>
    </row>
    <row r="31" spans="1:14" s="11" customFormat="1">
      <c r="A31" s="23" t="str">
        <f>IF(ISTEXT(Home!A30), Home!A30, "")</f>
        <v/>
      </c>
      <c r="B31" s="20">
        <v>29</v>
      </c>
      <c r="C31" s="11" t="str">
        <f t="shared" ref="C31:C32" si="12">IF(ISNUMBER(AVERAGE(O31:S31)), AVERAGE(O31:S31),"")</f>
        <v/>
      </c>
      <c r="D31" s="11" t="str">
        <f t="shared" si="1"/>
        <v/>
      </c>
      <c r="E31" s="11" t="str">
        <f t="shared" si="2"/>
        <v/>
      </c>
      <c r="F31" s="11" t="str">
        <f t="shared" si="3"/>
        <v/>
      </c>
      <c r="G31" s="11" t="str">
        <f t="shared" si="4"/>
        <v/>
      </c>
      <c r="H31" s="11" t="str">
        <f t="shared" si="5"/>
        <v/>
      </c>
      <c r="I31" s="11" t="str">
        <f t="shared" si="6"/>
        <v/>
      </c>
      <c r="J31" s="11" t="str">
        <f t="shared" si="7"/>
        <v/>
      </c>
      <c r="K31" s="11" t="str">
        <f t="shared" si="8"/>
        <v/>
      </c>
      <c r="L31" s="11" t="str">
        <f t="shared" si="9"/>
        <v/>
      </c>
      <c r="M31" s="11" t="str">
        <f t="shared" si="10"/>
        <v/>
      </c>
      <c r="N31" s="11" t="str">
        <f t="shared" si="11"/>
        <v/>
      </c>
    </row>
    <row r="32" spans="1:14" s="11" customFormat="1">
      <c r="A32" s="23" t="str">
        <f>IF(ISTEXT(Home!A31), Home!A31, "")</f>
        <v/>
      </c>
      <c r="B32" s="21">
        <v>30</v>
      </c>
      <c r="C32" s="11" t="str">
        <f t="shared" si="12"/>
        <v/>
      </c>
      <c r="D32" s="11" t="str">
        <f t="shared" si="1"/>
        <v/>
      </c>
      <c r="E32" s="11" t="str">
        <f t="shared" si="2"/>
        <v/>
      </c>
      <c r="F32" s="11" t="str">
        <f t="shared" si="3"/>
        <v/>
      </c>
      <c r="G32" s="11" t="str">
        <f t="shared" si="4"/>
        <v/>
      </c>
      <c r="H32" s="11" t="str">
        <f t="shared" si="5"/>
        <v/>
      </c>
      <c r="I32" s="11" t="str">
        <f t="shared" si="6"/>
        <v/>
      </c>
      <c r="J32" s="11" t="str">
        <f t="shared" si="7"/>
        <v/>
      </c>
      <c r="K32" s="11" t="str">
        <f t="shared" si="8"/>
        <v/>
      </c>
      <c r="L32" s="11" t="str">
        <f t="shared" si="9"/>
        <v/>
      </c>
      <c r="M32" s="11" t="str">
        <f t="shared" si="10"/>
        <v/>
      </c>
      <c r="N32" s="11" t="str">
        <f t="shared" si="11"/>
        <v/>
      </c>
    </row>
    <row r="33" spans="1:43" s="37" customFormat="1">
      <c r="A33" s="23"/>
      <c r="B33" s="20">
        <v>31</v>
      </c>
    </row>
    <row r="34" spans="1:43" s="37" customFormat="1">
      <c r="A34" s="23"/>
      <c r="B34" s="20">
        <v>32</v>
      </c>
    </row>
    <row r="35" spans="1:43" s="11" customFormat="1">
      <c r="A35" s="23" t="str">
        <f>IF(ISTEXT(Home!A34), Home!A34, "")</f>
        <v/>
      </c>
      <c r="B35" s="21">
        <v>33</v>
      </c>
    </row>
    <row r="36" spans="1:43" s="11" customFormat="1">
      <c r="A36" s="23" t="str">
        <f>IF(ISTEXT(Home!A35), Home!A35, "")</f>
        <v/>
      </c>
      <c r="B36" s="20">
        <v>34</v>
      </c>
    </row>
    <row r="37" spans="1:43" s="11" customFormat="1">
      <c r="A37" s="23" t="str">
        <f>IF(ISTEXT(Home!A36), Home!A36, "")</f>
        <v/>
      </c>
      <c r="B37" s="20">
        <v>35</v>
      </c>
    </row>
    <row r="38" spans="1:43" s="11" customFormat="1">
      <c r="A38" s="23" t="str">
        <f>IF(ISTEXT(Home!A37), Home!A37, "")</f>
        <v/>
      </c>
      <c r="B38" s="21">
        <v>36</v>
      </c>
    </row>
    <row r="39" spans="1:43" s="34" customFormat="1">
      <c r="A39" s="23" t="str">
        <f>IF(ISTEXT(Home!A38), Home!A38, "")</f>
        <v>Test</v>
      </c>
      <c r="B39" s="20">
        <v>37</v>
      </c>
      <c r="C39" s="34" t="str">
        <f t="shared" ref="C39" si="13">IF(ISNUMBER(AVERAGE(O39:S39)), AVERAGE(O39:S39),"")</f>
        <v/>
      </c>
      <c r="D39" s="34" t="str">
        <f t="shared" ref="D39:D40" si="14">IF(ISNUMBER(AVERAGE(T39:U39)),AVERAGE(T39:U39),"")</f>
        <v/>
      </c>
      <c r="E39" s="34" t="str">
        <f t="shared" ref="E39:E40" si="15">IF(ISNUMBER(AVERAGE(V39:X39)),AVERAGE(V39:X39),"")</f>
        <v/>
      </c>
      <c r="F39" s="34" t="str">
        <f t="shared" ref="F39:F40" si="16">IF(ISNUMBER(AVERAGE(Y39:Z39)),AVERAGE(Y39:Z39),"")</f>
        <v/>
      </c>
      <c r="G39" s="34" t="str">
        <f t="shared" ref="G39:G40" si="17">IF(ISNUMBER(AVERAGE(AA39:AB39)),AVERAGE(AA39:AB39),"")</f>
        <v/>
      </c>
      <c r="H39" s="34" t="str">
        <f t="shared" ref="H39:H40" si="18">IF(ISNUMBER(AVERAGE(AC39:AE39)), AVERAGE(AC39:AE39),"")</f>
        <v/>
      </c>
      <c r="I39" s="34" t="str">
        <f t="shared" ref="I39:I40" si="19">IF(ISNUMBER(AVERAGE(AF39:AG39)), AVERAGE(AF39:AG39),"")</f>
        <v/>
      </c>
      <c r="J39" s="34" t="str">
        <f t="shared" ref="J39:J40" si="20">IF(ISNUMBER(AVERAGE(AH39:AI39)),AVERAGE(AH39:AI39),"")</f>
        <v/>
      </c>
      <c r="K39" s="34" t="str">
        <f t="shared" ref="K39:K40" si="21">IF(ISNUMBER(AVERAGE(AJ39)), AVERAGE(AJ39),"")</f>
        <v/>
      </c>
      <c r="L39" s="34" t="str">
        <f t="shared" ref="L39:L40" si="22">IF(ISNUMBER(AVERAGE(AK39:AM39)),AVERAGE(AK39:AM39),"")</f>
        <v/>
      </c>
      <c r="M39" s="34" t="str">
        <f t="shared" ref="M39:M40" si="23">IF(ISNUMBER(AVERAGE(AN39:AO39)), AVERAGE(AN39:AO39),"")</f>
        <v/>
      </c>
      <c r="N39" s="34" t="str">
        <f t="shared" ref="N39:N40" si="24">IF(ISNUMBER(AVERAGE(AP39:AQ39)), AVERAGE(AP39:AQ39),"")</f>
        <v/>
      </c>
    </row>
    <row r="40" spans="1:43" s="28" customFormat="1">
      <c r="A40" s="23" t="str">
        <f>IF(ISTEXT(Home!A39), Home!A39, "")</f>
        <v>Perfect</v>
      </c>
      <c r="B40" s="20">
        <v>38</v>
      </c>
      <c r="C40" s="28">
        <f>IF(ISNUMBER(AVERAGE(O40:S40)), AVERAGE(O40:S40),"")</f>
        <v>10</v>
      </c>
      <c r="D40" s="28">
        <f t="shared" si="14"/>
        <v>10</v>
      </c>
      <c r="E40" s="28">
        <f t="shared" si="15"/>
        <v>10</v>
      </c>
      <c r="F40" s="28">
        <f t="shared" si="16"/>
        <v>10</v>
      </c>
      <c r="G40" s="28">
        <f t="shared" si="17"/>
        <v>10</v>
      </c>
      <c r="H40" s="28">
        <f t="shared" si="18"/>
        <v>10</v>
      </c>
      <c r="I40" s="28">
        <f t="shared" si="19"/>
        <v>10</v>
      </c>
      <c r="J40" s="28">
        <f t="shared" si="20"/>
        <v>10</v>
      </c>
      <c r="K40" s="28">
        <f t="shared" si="21"/>
        <v>10</v>
      </c>
      <c r="L40" s="28">
        <f t="shared" si="22"/>
        <v>10</v>
      </c>
      <c r="M40" s="28">
        <f t="shared" si="23"/>
        <v>10</v>
      </c>
      <c r="N40" s="28">
        <f t="shared" si="24"/>
        <v>10</v>
      </c>
      <c r="O40" s="28">
        <v>10</v>
      </c>
      <c r="P40" s="28">
        <v>10</v>
      </c>
      <c r="Q40" s="28">
        <v>10</v>
      </c>
      <c r="R40" s="28">
        <v>10</v>
      </c>
      <c r="S40" s="28">
        <v>10</v>
      </c>
      <c r="T40" s="28">
        <v>10</v>
      </c>
      <c r="U40" s="28">
        <v>10</v>
      </c>
      <c r="V40" s="28">
        <v>10</v>
      </c>
      <c r="W40" s="28">
        <v>10</v>
      </c>
      <c r="X40" s="28">
        <v>10</v>
      </c>
      <c r="Y40" s="28">
        <v>10</v>
      </c>
      <c r="Z40" s="28">
        <v>10</v>
      </c>
      <c r="AA40" s="28">
        <v>10</v>
      </c>
      <c r="AB40" s="28">
        <v>10</v>
      </c>
      <c r="AC40" s="28">
        <v>10</v>
      </c>
      <c r="AD40" s="28">
        <v>10</v>
      </c>
      <c r="AE40" s="28">
        <v>10</v>
      </c>
      <c r="AF40" s="28">
        <v>10</v>
      </c>
      <c r="AG40" s="28">
        <v>10</v>
      </c>
      <c r="AH40" s="28">
        <v>10</v>
      </c>
      <c r="AI40" s="28">
        <v>10</v>
      </c>
      <c r="AJ40" s="28">
        <v>10</v>
      </c>
      <c r="AK40" s="28">
        <v>10</v>
      </c>
      <c r="AL40" s="28">
        <v>10</v>
      </c>
      <c r="AM40" s="28">
        <v>10</v>
      </c>
      <c r="AN40" s="28">
        <v>10</v>
      </c>
      <c r="AO40" s="28">
        <v>10</v>
      </c>
      <c r="AP40" s="28">
        <v>10</v>
      </c>
      <c r="AQ40" s="28">
        <v>10</v>
      </c>
    </row>
    <row r="41" spans="1:43">
      <c r="A41" s="23" t="str">
        <f>IF(ISTEXT(Home!A40), Home!A40, "")</f>
        <v/>
      </c>
      <c r="B41" s="20"/>
      <c r="C41" s="11"/>
      <c r="D41" s="11"/>
      <c r="E41" s="11"/>
      <c r="F41" s="11"/>
      <c r="G41" s="11"/>
      <c r="H41" s="11"/>
      <c r="I41" s="11"/>
      <c r="J41" s="11"/>
      <c r="K41" s="11"/>
      <c r="L41" s="11"/>
      <c r="M41" s="11"/>
      <c r="N41" s="11"/>
      <c r="O41" s="11"/>
      <c r="P41" s="11"/>
      <c r="Q41" s="11"/>
      <c r="R41" s="11"/>
      <c r="S41" s="11"/>
      <c r="T41" s="11"/>
      <c r="U41" s="11"/>
      <c r="V41" s="11"/>
      <c r="W41" s="11"/>
      <c r="X41" s="11"/>
      <c r="Y41" s="11"/>
      <c r="Z41" s="11"/>
      <c r="AA41" s="11"/>
    </row>
    <row r="42" spans="1:43">
      <c r="A42" s="23" t="str">
        <f>IF(ISTEXT(Home!A41), Home!A41, "")</f>
        <v/>
      </c>
    </row>
  </sheetData>
  <mergeCells count="25">
    <mergeCell ref="T1:U1"/>
    <mergeCell ref="K1:K2"/>
    <mergeCell ref="L1:L2"/>
    <mergeCell ref="M1:M2"/>
    <mergeCell ref="A1:A2"/>
    <mergeCell ref="B1:B2"/>
    <mergeCell ref="C1:C2"/>
    <mergeCell ref="N1:N2"/>
    <mergeCell ref="O1:S1"/>
    <mergeCell ref="AK1:AM1"/>
    <mergeCell ref="AN1:AO1"/>
    <mergeCell ref="AP1:AQ1"/>
    <mergeCell ref="D1:D2"/>
    <mergeCell ref="E1:E2"/>
    <mergeCell ref="F1:F2"/>
    <mergeCell ref="G1:G2"/>
    <mergeCell ref="H1:H2"/>
    <mergeCell ref="I1:I2"/>
    <mergeCell ref="J1:J2"/>
    <mergeCell ref="V1:X1"/>
    <mergeCell ref="Y1:Z1"/>
    <mergeCell ref="AA1:AB1"/>
    <mergeCell ref="AC1:AE1"/>
    <mergeCell ref="AF1:AG1"/>
    <mergeCell ref="AH1:AI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12382-5B7F-8D47-8056-D4CCA6A63459}">
  <sheetPr codeName="Sheet3"/>
  <dimension ref="A1:BN41"/>
  <sheetViews>
    <sheetView workbookViewId="0">
      <pane xSplit="2" ySplit="3" topLeftCell="AI26" activePane="bottomRight" state="frozen"/>
      <selection pane="topRight" activeCell="C1" sqref="C1"/>
      <selection pane="bottomLeft" activeCell="A4" sqref="A4"/>
      <selection pane="bottomRight" activeCell="AN31" sqref="AN31"/>
    </sheetView>
  </sheetViews>
  <sheetFormatPr baseColWidth="10" defaultRowHeight="20" customHeight="1"/>
  <cols>
    <col min="1" max="1" width="27.83203125" style="19" customWidth="1"/>
    <col min="2" max="6" width="10.83203125" style="19"/>
    <col min="7" max="7" width="11.33203125" style="19" customWidth="1"/>
    <col min="8" max="16" width="11.33203125" style="32" customWidth="1"/>
    <col min="17" max="17" width="11.33203125" style="19" customWidth="1"/>
    <col min="18" max="16384" width="10.83203125" style="19"/>
  </cols>
  <sheetData>
    <row r="1" spans="1:66" ht="20" customHeight="1">
      <c r="A1" s="113" t="s">
        <v>0</v>
      </c>
      <c r="B1" s="113" t="s">
        <v>12</v>
      </c>
      <c r="C1" s="114" t="s">
        <v>13</v>
      </c>
      <c r="D1" s="35">
        <v>0.25</v>
      </c>
      <c r="E1" s="35">
        <v>0.25</v>
      </c>
      <c r="F1" s="35" t="str">
        <f>IF(ISTEXT(Home!F5), Home!F5, "")</f>
        <v/>
      </c>
      <c r="G1" s="111" t="str">
        <f>IF(ISTEXT(Home!F6), Home!F6, "")</f>
        <v/>
      </c>
      <c r="H1" s="108"/>
      <c r="I1" s="108"/>
      <c r="J1" s="108"/>
      <c r="K1" s="108"/>
      <c r="L1" s="108"/>
      <c r="M1" s="108"/>
      <c r="N1" s="108"/>
      <c r="O1" s="108"/>
      <c r="P1" s="108"/>
      <c r="Q1" s="108"/>
      <c r="R1" s="111" t="str">
        <f>IF(ISTEXT(Home!F7), Home!F7, "")</f>
        <v/>
      </c>
      <c r="S1" s="108"/>
      <c r="T1" s="108"/>
      <c r="U1" s="108"/>
      <c r="V1" s="108"/>
      <c r="W1" s="108"/>
      <c r="X1" s="108"/>
      <c r="Y1" s="108"/>
      <c r="Z1" s="108"/>
      <c r="AA1" s="108"/>
      <c r="AB1" s="108"/>
      <c r="AC1" s="108"/>
      <c r="AD1" s="36" t="str">
        <f>IF(ISTEXT(Home!F2), Home!F2, "")</f>
        <v/>
      </c>
      <c r="AH1" s="108" t="s">
        <v>135</v>
      </c>
      <c r="AI1" s="108"/>
      <c r="AJ1" s="108"/>
      <c r="AK1" s="108"/>
      <c r="AL1" s="108"/>
      <c r="AM1" s="108"/>
      <c r="AN1" s="108"/>
      <c r="AO1" s="108"/>
      <c r="AP1" s="108"/>
      <c r="AQ1" s="108"/>
      <c r="AR1" s="108"/>
      <c r="AS1" s="108"/>
      <c r="AT1" s="108"/>
      <c r="AU1" s="108"/>
      <c r="AV1" s="108"/>
      <c r="AZ1" s="108" t="s">
        <v>123</v>
      </c>
      <c r="BA1" s="108"/>
      <c r="BB1" s="108"/>
      <c r="BC1" s="108"/>
      <c r="BD1" s="108"/>
      <c r="BE1" s="108"/>
      <c r="BF1" s="108"/>
      <c r="BG1" s="108"/>
      <c r="BH1" s="108"/>
      <c r="BI1" s="108"/>
      <c r="BJ1" s="108"/>
      <c r="BK1" s="108"/>
      <c r="BL1" s="108"/>
      <c r="BM1" s="108"/>
      <c r="BN1" s="108"/>
    </row>
    <row r="2" spans="1:66" ht="20" customHeight="1">
      <c r="A2" s="113"/>
      <c r="B2" s="113"/>
      <c r="C2" s="114"/>
      <c r="D2" s="115" t="s">
        <v>5</v>
      </c>
      <c r="E2" s="116" t="s">
        <v>6</v>
      </c>
      <c r="F2" s="117" t="s">
        <v>7</v>
      </c>
      <c r="G2" s="112" t="s">
        <v>3</v>
      </c>
      <c r="H2" s="112"/>
      <c r="I2" s="112"/>
      <c r="J2" s="112"/>
      <c r="K2" s="112"/>
      <c r="L2" s="112"/>
      <c r="M2" s="112"/>
      <c r="N2" s="112"/>
      <c r="O2" s="112"/>
      <c r="P2" s="112"/>
      <c r="Q2" s="112"/>
      <c r="R2" s="109" t="s">
        <v>4</v>
      </c>
      <c r="S2" s="110"/>
      <c r="T2" s="110"/>
      <c r="U2" s="110"/>
      <c r="V2" s="110"/>
      <c r="W2" s="110"/>
      <c r="X2" s="110"/>
      <c r="Y2" s="110"/>
      <c r="Z2" s="110"/>
      <c r="AA2" s="110"/>
      <c r="AB2" s="110"/>
      <c r="AC2" s="110"/>
      <c r="AD2" s="118" t="s">
        <v>2</v>
      </c>
      <c r="AH2" s="107"/>
      <c r="AI2" s="107"/>
      <c r="AJ2" s="107"/>
      <c r="AK2" s="107"/>
      <c r="AL2" s="64" t="s">
        <v>124</v>
      </c>
      <c r="AM2" s="64" t="s">
        <v>125</v>
      </c>
      <c r="AN2" s="64" t="s">
        <v>126</v>
      </c>
      <c r="AO2" s="64" t="s">
        <v>127</v>
      </c>
      <c r="AP2" s="64" t="s">
        <v>128</v>
      </c>
      <c r="AQ2" s="64" t="s">
        <v>129</v>
      </c>
      <c r="AR2" s="64" t="s">
        <v>130</v>
      </c>
      <c r="AS2" s="64" t="s">
        <v>136</v>
      </c>
      <c r="AT2" s="64" t="s">
        <v>131</v>
      </c>
      <c r="AU2" s="64" t="s">
        <v>132</v>
      </c>
      <c r="AV2" s="64" t="s">
        <v>133</v>
      </c>
      <c r="AZ2" s="107"/>
      <c r="BA2" s="107"/>
      <c r="BB2" s="107"/>
      <c r="BC2" s="107"/>
      <c r="BD2" s="64" t="s">
        <v>124</v>
      </c>
      <c r="BE2" s="64" t="s">
        <v>125</v>
      </c>
      <c r="BF2" s="64" t="s">
        <v>126</v>
      </c>
      <c r="BG2" s="64" t="s">
        <v>127</v>
      </c>
      <c r="BH2" s="64" t="s">
        <v>128</v>
      </c>
      <c r="BI2" s="64" t="s">
        <v>129</v>
      </c>
      <c r="BJ2" s="64" t="s">
        <v>130</v>
      </c>
      <c r="BK2" s="64" t="s">
        <v>136</v>
      </c>
      <c r="BL2" s="64" t="s">
        <v>131</v>
      </c>
      <c r="BM2" s="64" t="s">
        <v>132</v>
      </c>
      <c r="BN2" s="64" t="s">
        <v>133</v>
      </c>
    </row>
    <row r="3" spans="1:66" ht="20" customHeight="1">
      <c r="A3" s="113"/>
      <c r="B3" s="113"/>
      <c r="C3" s="114"/>
      <c r="D3" s="115"/>
      <c r="E3" s="116"/>
      <c r="F3" s="117"/>
      <c r="G3" s="19" t="s">
        <v>72</v>
      </c>
      <c r="H3" s="32" t="s">
        <v>14</v>
      </c>
      <c r="I3" s="32" t="s">
        <v>73</v>
      </c>
      <c r="J3" s="32" t="s">
        <v>74</v>
      </c>
      <c r="K3" s="32" t="s">
        <v>75</v>
      </c>
      <c r="L3" s="32" t="s">
        <v>76</v>
      </c>
      <c r="M3" s="32" t="s">
        <v>77</v>
      </c>
      <c r="N3" s="32" t="s">
        <v>78</v>
      </c>
      <c r="O3" s="32" t="s">
        <v>79</v>
      </c>
      <c r="P3" s="32" t="s">
        <v>80</v>
      </c>
      <c r="Q3" s="19" t="s">
        <v>81</v>
      </c>
      <c r="R3" s="19" t="s">
        <v>15</v>
      </c>
      <c r="S3" s="19" t="s">
        <v>60</v>
      </c>
      <c r="T3" s="19" t="s">
        <v>61</v>
      </c>
      <c r="U3" s="19" t="s">
        <v>62</v>
      </c>
      <c r="V3" s="19" t="s">
        <v>63</v>
      </c>
      <c r="W3" s="19" t="s">
        <v>64</v>
      </c>
      <c r="X3" s="19" t="s">
        <v>65</v>
      </c>
      <c r="Y3" s="19" t="s">
        <v>66</v>
      </c>
      <c r="Z3" s="19" t="s">
        <v>67</v>
      </c>
      <c r="AA3" s="19" t="s">
        <v>68</v>
      </c>
      <c r="AB3" s="19" t="s">
        <v>69</v>
      </c>
      <c r="AC3" s="19" t="s">
        <v>70</v>
      </c>
      <c r="AD3" s="118"/>
      <c r="AH3" s="64" t="s">
        <v>3</v>
      </c>
      <c r="AI3" s="64" t="s">
        <v>134</v>
      </c>
      <c r="AJ3" s="64" t="s">
        <v>4</v>
      </c>
      <c r="AK3" s="65" t="s">
        <v>2</v>
      </c>
      <c r="AL3" s="64">
        <v>92</v>
      </c>
      <c r="AM3" s="64">
        <v>90</v>
      </c>
      <c r="AN3" s="64">
        <v>88</v>
      </c>
      <c r="AO3" s="64">
        <v>82</v>
      </c>
      <c r="AP3" s="64">
        <v>80</v>
      </c>
      <c r="AQ3" s="64">
        <v>78</v>
      </c>
      <c r="AR3" s="64">
        <v>72</v>
      </c>
      <c r="AS3" s="64">
        <v>70</v>
      </c>
      <c r="AT3" s="64">
        <v>68</v>
      </c>
      <c r="AU3" s="64">
        <v>62</v>
      </c>
      <c r="AV3" s="64">
        <v>60</v>
      </c>
      <c r="AZ3" s="64" t="s">
        <v>3</v>
      </c>
      <c r="BA3" s="64" t="s">
        <v>134</v>
      </c>
      <c r="BB3" s="64" t="s">
        <v>4</v>
      </c>
      <c r="BC3" s="65" t="s">
        <v>2</v>
      </c>
      <c r="BD3" s="64">
        <v>92</v>
      </c>
      <c r="BE3" s="64">
        <v>90</v>
      </c>
      <c r="BF3" s="64">
        <v>88</v>
      </c>
      <c r="BG3" s="64">
        <v>82</v>
      </c>
      <c r="BH3" s="64">
        <v>80</v>
      </c>
      <c r="BI3" s="64">
        <v>78</v>
      </c>
      <c r="BJ3" s="64">
        <v>72</v>
      </c>
      <c r="BK3" s="64">
        <v>70</v>
      </c>
      <c r="BL3" s="64">
        <v>68</v>
      </c>
      <c r="BM3" s="64">
        <v>62</v>
      </c>
      <c r="BN3" s="64">
        <v>60</v>
      </c>
    </row>
    <row r="4" spans="1:66" ht="20" customHeight="1">
      <c r="A4" s="30" t="str">
        <f>IF(ISTEXT(Home!A2), Home!A2, "")</f>
        <v/>
      </c>
      <c r="B4" s="19">
        <v>1</v>
      </c>
      <c r="R4" s="19" t="str">
        <f>MML!C3</f>
        <v/>
      </c>
      <c r="S4" s="19" t="str">
        <f>MML!D3</f>
        <v/>
      </c>
      <c r="T4" s="19" t="str">
        <f>MML!E3</f>
        <v/>
      </c>
      <c r="U4" s="19" t="str">
        <f>MML!F3</f>
        <v/>
      </c>
      <c r="V4" s="19" t="str">
        <f>MML!G3</f>
        <v/>
      </c>
      <c r="W4" s="19" t="str">
        <f>MML!H3</f>
        <v/>
      </c>
      <c r="X4" s="19" t="str">
        <f>MML!I3</f>
        <v/>
      </c>
      <c r="Y4" s="19" t="str">
        <f>MML!J3</f>
        <v/>
      </c>
      <c r="Z4" s="19" t="str">
        <f>MML!K3</f>
        <v/>
      </c>
      <c r="AA4" s="19" t="str">
        <f>MML!L3</f>
        <v/>
      </c>
      <c r="AB4" s="19" t="str">
        <f>MML!M3</f>
        <v/>
      </c>
      <c r="AC4" s="19" t="str">
        <f>MML!N3</f>
        <v/>
      </c>
      <c r="AH4" s="11"/>
      <c r="AI4" s="11"/>
      <c r="AJ4" s="11"/>
      <c r="AK4" s="11"/>
      <c r="AL4" s="11">
        <f>MAX(($AL$3-SUM(AH4:AK4))*4,0)</f>
        <v>368</v>
      </c>
      <c r="AM4" s="11"/>
      <c r="AN4" s="11"/>
      <c r="AO4" s="11"/>
      <c r="AP4" s="11"/>
      <c r="AQ4" s="11"/>
      <c r="AR4" s="11"/>
      <c r="AS4" s="11"/>
      <c r="AT4" s="11"/>
      <c r="AU4" s="11"/>
    </row>
    <row r="5" spans="1:66" ht="20" customHeight="1">
      <c r="A5" s="30" t="str">
        <f>IF(ISTEXT(Home!A3), Home!A3, "")</f>
        <v/>
      </c>
      <c r="B5" s="19">
        <v>2</v>
      </c>
      <c r="R5" s="19" t="str">
        <f>MML!C4</f>
        <v/>
      </c>
      <c r="S5" s="19" t="str">
        <f>MML!D4</f>
        <v/>
      </c>
      <c r="T5" s="19" t="str">
        <f>MML!E4</f>
        <v/>
      </c>
      <c r="U5" s="19" t="str">
        <f>MML!F4</f>
        <v/>
      </c>
      <c r="V5" s="19" t="str">
        <f>MML!G4</f>
        <v/>
      </c>
      <c r="W5" s="19" t="str">
        <f>MML!H4</f>
        <v/>
      </c>
      <c r="X5" s="19" t="str">
        <f>MML!I4</f>
        <v/>
      </c>
      <c r="Y5" s="19" t="str">
        <f>MML!J4</f>
        <v/>
      </c>
      <c r="Z5" s="19" t="str">
        <f>MML!K4</f>
        <v/>
      </c>
      <c r="AA5" s="19" t="str">
        <f>MML!L4</f>
        <v/>
      </c>
      <c r="AB5" s="19" t="str">
        <f>MML!M4</f>
        <v/>
      </c>
      <c r="AC5" s="19" t="str">
        <f>MML!N4</f>
        <v/>
      </c>
      <c r="AH5" s="11"/>
      <c r="AI5" s="11"/>
      <c r="AJ5" s="11"/>
      <c r="AK5" s="11"/>
      <c r="AL5" s="11"/>
      <c r="AM5" s="11"/>
      <c r="AN5" s="11"/>
      <c r="AO5" s="11"/>
      <c r="AP5" s="11"/>
      <c r="AQ5" s="11"/>
      <c r="AR5" s="11"/>
      <c r="AS5" s="11"/>
      <c r="AT5" s="11"/>
      <c r="AU5" s="11"/>
    </row>
    <row r="6" spans="1:66" ht="20" customHeight="1">
      <c r="A6" s="30" t="str">
        <f>IF(ISTEXT(Home!A4), Home!A4, "")</f>
        <v/>
      </c>
      <c r="B6" s="19">
        <v>3</v>
      </c>
      <c r="R6" s="19" t="str">
        <f>MML!C5</f>
        <v/>
      </c>
      <c r="S6" s="19" t="str">
        <f>MML!D5</f>
        <v/>
      </c>
      <c r="T6" s="19" t="str">
        <f>MML!E5</f>
        <v/>
      </c>
      <c r="U6" s="19" t="str">
        <f>MML!F5</f>
        <v/>
      </c>
      <c r="V6" s="19" t="str">
        <f>MML!G5</f>
        <v/>
      </c>
      <c r="W6" s="19" t="str">
        <f>MML!H5</f>
        <v/>
      </c>
      <c r="X6" s="19" t="str">
        <f>MML!I5</f>
        <v/>
      </c>
      <c r="Y6" s="19" t="str">
        <f>MML!J5</f>
        <v/>
      </c>
      <c r="Z6" s="19" t="str">
        <f>MML!K5</f>
        <v/>
      </c>
      <c r="AA6" s="19" t="str">
        <f>MML!L5</f>
        <v/>
      </c>
      <c r="AB6" s="19" t="str">
        <f>MML!M5</f>
        <v/>
      </c>
      <c r="AC6" s="19" t="str">
        <f>MML!N5</f>
        <v/>
      </c>
      <c r="AH6" s="11"/>
      <c r="AI6" s="11"/>
      <c r="AJ6" s="11"/>
      <c r="AK6" s="11"/>
      <c r="AL6" s="11"/>
      <c r="AM6" s="11"/>
      <c r="AN6" s="11"/>
      <c r="AO6" s="11"/>
      <c r="AP6" s="11"/>
      <c r="AQ6" s="11"/>
      <c r="AR6" s="11"/>
      <c r="AS6" s="11"/>
      <c r="AT6" s="11"/>
      <c r="AU6" s="11"/>
    </row>
    <row r="7" spans="1:66" ht="20" customHeight="1">
      <c r="A7" s="30" t="str">
        <f>IF(ISTEXT(Home!A5), Home!A5, "")</f>
        <v/>
      </c>
      <c r="B7" s="32">
        <v>4</v>
      </c>
      <c r="R7" s="19" t="str">
        <f>MML!C6</f>
        <v/>
      </c>
      <c r="S7" s="19" t="str">
        <f>MML!D6</f>
        <v/>
      </c>
      <c r="T7" s="19" t="str">
        <f>MML!E6</f>
        <v/>
      </c>
      <c r="U7" s="19" t="str">
        <f>MML!F6</f>
        <v/>
      </c>
      <c r="V7" s="19" t="str">
        <f>MML!G6</f>
        <v/>
      </c>
      <c r="W7" s="19" t="str">
        <f>MML!H6</f>
        <v/>
      </c>
      <c r="X7" s="19" t="str">
        <f>MML!I6</f>
        <v/>
      </c>
      <c r="Y7" s="19" t="str">
        <f>MML!J6</f>
        <v/>
      </c>
      <c r="Z7" s="19" t="str">
        <f>MML!K6</f>
        <v/>
      </c>
      <c r="AA7" s="19" t="str">
        <f>MML!L6</f>
        <v/>
      </c>
      <c r="AB7" s="19" t="str">
        <f>MML!M6</f>
        <v/>
      </c>
      <c r="AC7" s="19" t="str">
        <f>MML!N6</f>
        <v/>
      </c>
      <c r="AH7" s="11"/>
      <c r="AI7" s="11"/>
      <c r="AJ7" s="11"/>
      <c r="AK7" s="11"/>
      <c r="AL7" s="11"/>
      <c r="AM7" s="11"/>
      <c r="AN7" s="11"/>
      <c r="AO7" s="11"/>
      <c r="AP7" s="11"/>
      <c r="AQ7" s="11"/>
      <c r="AR7" s="11"/>
      <c r="AS7" s="11"/>
      <c r="AT7" s="11"/>
      <c r="AU7" s="11"/>
    </row>
    <row r="8" spans="1:66" ht="20" customHeight="1">
      <c r="A8" s="30" t="str">
        <f>IF(ISTEXT(Home!A6), Home!A6, "")</f>
        <v/>
      </c>
      <c r="B8" s="32">
        <v>5</v>
      </c>
      <c r="R8" s="19" t="str">
        <f>MML!C7</f>
        <v/>
      </c>
      <c r="S8" s="19" t="str">
        <f>MML!D7</f>
        <v/>
      </c>
      <c r="T8" s="19" t="str">
        <f>MML!E7</f>
        <v/>
      </c>
      <c r="U8" s="19" t="str">
        <f>MML!F7</f>
        <v/>
      </c>
      <c r="V8" s="19" t="str">
        <f>MML!G7</f>
        <v/>
      </c>
      <c r="W8" s="19" t="str">
        <f>MML!H7</f>
        <v/>
      </c>
      <c r="X8" s="19" t="str">
        <f>MML!I7</f>
        <v/>
      </c>
      <c r="Y8" s="19" t="str">
        <f>MML!J7</f>
        <v/>
      </c>
      <c r="Z8" s="19" t="str">
        <f>MML!K7</f>
        <v/>
      </c>
      <c r="AA8" s="19" t="str">
        <f>MML!L7</f>
        <v/>
      </c>
      <c r="AB8" s="19" t="str">
        <f>MML!M7</f>
        <v/>
      </c>
      <c r="AC8" s="19" t="str">
        <f>MML!N7</f>
        <v/>
      </c>
      <c r="AH8" s="11"/>
      <c r="AI8" s="11"/>
      <c r="AJ8" s="11"/>
      <c r="AK8" s="11"/>
      <c r="AL8" s="11"/>
      <c r="AM8" s="11"/>
      <c r="AN8" s="11"/>
      <c r="AO8" s="11"/>
      <c r="AP8" s="11"/>
      <c r="AQ8" s="11"/>
      <c r="AR8" s="11"/>
      <c r="AS8" s="11"/>
      <c r="AT8" s="11"/>
      <c r="AU8" s="11"/>
    </row>
    <row r="9" spans="1:66" ht="20" customHeight="1">
      <c r="A9" s="30" t="str">
        <f>IF(ISTEXT(Home!A7), Home!A7, "")</f>
        <v/>
      </c>
      <c r="B9" s="32">
        <v>6</v>
      </c>
      <c r="R9" s="19" t="str">
        <f>MML!C8</f>
        <v/>
      </c>
      <c r="S9" s="19" t="str">
        <f>MML!D8</f>
        <v/>
      </c>
      <c r="T9" s="19" t="str">
        <f>MML!E8</f>
        <v/>
      </c>
      <c r="U9" s="19" t="str">
        <f>MML!F8</f>
        <v/>
      </c>
      <c r="V9" s="19" t="str">
        <f>MML!G8</f>
        <v/>
      </c>
      <c r="W9" s="19" t="str">
        <f>MML!H8</f>
        <v/>
      </c>
      <c r="X9" s="19" t="str">
        <f>MML!I8</f>
        <v/>
      </c>
      <c r="Y9" s="19" t="str">
        <f>MML!J8</f>
        <v/>
      </c>
      <c r="Z9" s="19" t="str">
        <f>MML!K8</f>
        <v/>
      </c>
      <c r="AA9" s="19" t="str">
        <f>MML!L8</f>
        <v/>
      </c>
      <c r="AB9" s="19" t="str">
        <f>MML!M8</f>
        <v/>
      </c>
      <c r="AC9" s="19" t="str">
        <f>MML!N8</f>
        <v/>
      </c>
      <c r="AH9" s="11"/>
      <c r="AI9" s="11"/>
      <c r="AJ9" s="11"/>
      <c r="AK9" s="11"/>
      <c r="AL9" s="11"/>
      <c r="AM9" s="11"/>
      <c r="AN9" s="11"/>
      <c r="AO9" s="11"/>
      <c r="AP9" s="11"/>
      <c r="AQ9" s="11"/>
      <c r="AR9" s="11"/>
      <c r="AS9" s="11"/>
      <c r="AT9" s="11"/>
      <c r="AU9" s="11"/>
    </row>
    <row r="10" spans="1:66" ht="20" customHeight="1">
      <c r="A10" s="30" t="str">
        <f>IF(ISTEXT(Home!A8), Home!A8, "")</f>
        <v/>
      </c>
      <c r="B10" s="32">
        <v>7</v>
      </c>
      <c r="R10" s="19" t="str">
        <f>MML!C9</f>
        <v/>
      </c>
      <c r="S10" s="19" t="str">
        <f>MML!D9</f>
        <v/>
      </c>
      <c r="T10" s="19" t="str">
        <f>MML!E9</f>
        <v/>
      </c>
      <c r="U10" s="19" t="str">
        <f>MML!F9</f>
        <v/>
      </c>
      <c r="V10" s="19" t="str">
        <f>MML!G9</f>
        <v/>
      </c>
      <c r="W10" s="19" t="str">
        <f>MML!H9</f>
        <v/>
      </c>
      <c r="X10" s="19" t="str">
        <f>MML!I9</f>
        <v/>
      </c>
      <c r="Y10" s="19" t="str">
        <f>MML!J9</f>
        <v/>
      </c>
      <c r="Z10" s="19" t="str">
        <f>MML!K9</f>
        <v/>
      </c>
      <c r="AA10" s="19" t="str">
        <f>MML!L9</f>
        <v/>
      </c>
      <c r="AB10" s="19" t="str">
        <f>MML!M9</f>
        <v/>
      </c>
      <c r="AC10" s="19" t="str">
        <f>MML!N9</f>
        <v/>
      </c>
      <c r="AH10" s="11"/>
      <c r="AI10" s="11"/>
      <c r="AJ10" s="11"/>
      <c r="AK10" s="11"/>
      <c r="AL10" s="11"/>
      <c r="AM10" s="11"/>
      <c r="AN10" s="11"/>
      <c r="AO10" s="11"/>
      <c r="AP10" s="11"/>
      <c r="AQ10" s="11"/>
      <c r="AR10" s="11"/>
      <c r="AS10" s="11"/>
      <c r="AT10" s="11"/>
      <c r="AU10" s="11"/>
    </row>
    <row r="11" spans="1:66" ht="20" customHeight="1">
      <c r="A11" s="30" t="str">
        <f>IF(ISTEXT(Home!A9), Home!A9, "")</f>
        <v/>
      </c>
      <c r="B11" s="32">
        <v>8</v>
      </c>
      <c r="R11" s="19" t="str">
        <f>MML!C10</f>
        <v/>
      </c>
      <c r="S11" s="19" t="str">
        <f>MML!D10</f>
        <v/>
      </c>
      <c r="T11" s="19" t="str">
        <f>MML!E10</f>
        <v/>
      </c>
      <c r="U11" s="19" t="str">
        <f>MML!F10</f>
        <v/>
      </c>
      <c r="V11" s="19" t="str">
        <f>MML!G10</f>
        <v/>
      </c>
      <c r="W11" s="19" t="str">
        <f>MML!H10</f>
        <v/>
      </c>
      <c r="X11" s="19" t="str">
        <f>MML!I10</f>
        <v/>
      </c>
      <c r="Y11" s="19" t="str">
        <f>MML!J10</f>
        <v/>
      </c>
      <c r="Z11" s="19" t="str">
        <f>MML!K10</f>
        <v/>
      </c>
      <c r="AA11" s="19" t="str">
        <f>MML!L10</f>
        <v/>
      </c>
      <c r="AB11" s="19" t="str">
        <f>MML!M10</f>
        <v/>
      </c>
      <c r="AC11" s="19" t="str">
        <f>MML!N10</f>
        <v/>
      </c>
      <c r="AH11" s="11"/>
      <c r="AI11" s="11"/>
      <c r="AJ11" s="11"/>
      <c r="AK11" s="11"/>
      <c r="AL11" s="11"/>
      <c r="AM11" s="11"/>
      <c r="AN11" s="11"/>
      <c r="AO11" s="11"/>
      <c r="AP11" s="11"/>
      <c r="AQ11" s="11"/>
      <c r="AR11" s="11"/>
      <c r="AS11" s="11"/>
      <c r="AT11" s="11"/>
      <c r="AU11" s="11"/>
    </row>
    <row r="12" spans="1:66" ht="20" customHeight="1">
      <c r="A12" s="30" t="str">
        <f>IF(ISTEXT(Home!A10), Home!A10, "")</f>
        <v/>
      </c>
      <c r="B12" s="32">
        <v>9</v>
      </c>
      <c r="R12" s="19" t="str">
        <f>MML!C11</f>
        <v/>
      </c>
      <c r="S12" s="19" t="str">
        <f>MML!D11</f>
        <v/>
      </c>
      <c r="T12" s="19" t="str">
        <f>MML!E11</f>
        <v/>
      </c>
      <c r="U12" s="19" t="str">
        <f>MML!F11</f>
        <v/>
      </c>
      <c r="V12" s="19" t="str">
        <f>MML!G11</f>
        <v/>
      </c>
      <c r="W12" s="19" t="str">
        <f>MML!H11</f>
        <v/>
      </c>
      <c r="X12" s="19" t="str">
        <f>MML!I11</f>
        <v/>
      </c>
      <c r="Y12" s="19" t="str">
        <f>MML!J11</f>
        <v/>
      </c>
      <c r="Z12" s="19" t="str">
        <f>MML!K11</f>
        <v/>
      </c>
      <c r="AA12" s="19" t="str">
        <f>MML!L11</f>
        <v/>
      </c>
      <c r="AB12" s="19" t="str">
        <f>MML!M11</f>
        <v/>
      </c>
      <c r="AC12" s="19" t="str">
        <f>MML!N11</f>
        <v/>
      </c>
      <c r="AH12" s="11"/>
      <c r="AI12" s="11"/>
      <c r="AJ12" s="11"/>
      <c r="AK12" s="11"/>
      <c r="AL12" s="11"/>
      <c r="AM12" s="11"/>
      <c r="AN12" s="11"/>
      <c r="AO12" s="11"/>
      <c r="AP12" s="11"/>
      <c r="AQ12" s="11"/>
      <c r="AR12" s="11"/>
      <c r="AS12" s="11"/>
      <c r="AT12" s="11"/>
      <c r="AU12" s="11"/>
    </row>
    <row r="13" spans="1:66" ht="20" customHeight="1">
      <c r="A13" s="30" t="str">
        <f>IF(ISTEXT(Home!A11), Home!A11, "")</f>
        <v/>
      </c>
      <c r="B13" s="32">
        <v>10</v>
      </c>
      <c r="R13" s="19" t="str">
        <f>MML!C12</f>
        <v/>
      </c>
      <c r="S13" s="19" t="str">
        <f>MML!D12</f>
        <v/>
      </c>
      <c r="T13" s="19" t="str">
        <f>MML!E12</f>
        <v/>
      </c>
      <c r="U13" s="19" t="str">
        <f>MML!F12</f>
        <v/>
      </c>
      <c r="V13" s="19" t="str">
        <f>MML!G12</f>
        <v/>
      </c>
      <c r="W13" s="19" t="str">
        <f>MML!H12</f>
        <v/>
      </c>
      <c r="X13" s="19" t="str">
        <f>MML!I12</f>
        <v/>
      </c>
      <c r="Y13" s="19" t="str">
        <f>MML!J12</f>
        <v/>
      </c>
      <c r="Z13" s="19" t="str">
        <f>MML!K12</f>
        <v/>
      </c>
      <c r="AA13" s="19" t="str">
        <f>MML!L12</f>
        <v/>
      </c>
      <c r="AB13" s="19" t="str">
        <f>MML!M12</f>
        <v/>
      </c>
      <c r="AC13" s="19" t="str">
        <f>MML!N12</f>
        <v/>
      </c>
      <c r="AH13" s="11"/>
      <c r="AI13" s="11"/>
      <c r="AJ13" s="11"/>
      <c r="AK13" s="11"/>
      <c r="AL13" s="11"/>
      <c r="AM13" s="11"/>
      <c r="AN13" s="11"/>
      <c r="AO13" s="11"/>
      <c r="AP13" s="11"/>
      <c r="AQ13" s="11"/>
      <c r="AR13" s="11"/>
      <c r="AS13" s="11"/>
      <c r="AT13" s="11"/>
      <c r="AU13" s="11"/>
    </row>
    <row r="14" spans="1:66" ht="20" customHeight="1">
      <c r="A14" s="30" t="str">
        <f>IF(ISTEXT(Home!A12), Home!A12, "")</f>
        <v/>
      </c>
      <c r="B14" s="32">
        <v>11</v>
      </c>
      <c r="R14" s="19" t="str">
        <f>MML!C13</f>
        <v/>
      </c>
      <c r="S14" s="19" t="str">
        <f>MML!D13</f>
        <v/>
      </c>
      <c r="T14" s="19" t="str">
        <f>MML!E13</f>
        <v/>
      </c>
      <c r="U14" s="19" t="str">
        <f>MML!F13</f>
        <v/>
      </c>
      <c r="V14" s="19" t="str">
        <f>MML!G13</f>
        <v/>
      </c>
      <c r="W14" s="19" t="str">
        <f>MML!H13</f>
        <v/>
      </c>
      <c r="X14" s="19" t="str">
        <f>MML!I13</f>
        <v/>
      </c>
      <c r="Y14" s="19" t="str">
        <f>MML!J13</f>
        <v/>
      </c>
      <c r="Z14" s="19" t="str">
        <f>MML!K13</f>
        <v/>
      </c>
      <c r="AA14" s="19" t="str">
        <f>MML!L13</f>
        <v/>
      </c>
      <c r="AB14" s="19" t="str">
        <f>MML!M13</f>
        <v/>
      </c>
      <c r="AC14" s="19" t="str">
        <f>MML!N13</f>
        <v/>
      </c>
      <c r="AH14" s="11"/>
      <c r="AI14" s="11"/>
      <c r="AJ14" s="11"/>
      <c r="AK14" s="11"/>
      <c r="AL14" s="11"/>
      <c r="AM14" s="11"/>
      <c r="AN14" s="11"/>
      <c r="AO14" s="11"/>
      <c r="AP14" s="11"/>
      <c r="AQ14" s="11"/>
      <c r="AR14" s="11"/>
      <c r="AS14" s="11"/>
      <c r="AT14" s="11"/>
      <c r="AU14" s="11"/>
    </row>
    <row r="15" spans="1:66" ht="20" customHeight="1">
      <c r="A15" s="30" t="str">
        <f>IF(ISTEXT(Home!A13), Home!A13, "")</f>
        <v/>
      </c>
      <c r="B15" s="32">
        <v>12</v>
      </c>
      <c r="R15" s="19" t="str">
        <f>MML!C14</f>
        <v/>
      </c>
      <c r="S15" s="19" t="str">
        <f>MML!D14</f>
        <v/>
      </c>
      <c r="T15" s="19" t="str">
        <f>MML!E14</f>
        <v/>
      </c>
      <c r="U15" s="19" t="str">
        <f>MML!F14</f>
        <v/>
      </c>
      <c r="V15" s="19" t="str">
        <f>MML!G14</f>
        <v/>
      </c>
      <c r="W15" s="19" t="str">
        <f>MML!H14</f>
        <v/>
      </c>
      <c r="X15" s="19" t="str">
        <f>MML!I14</f>
        <v/>
      </c>
      <c r="Y15" s="19" t="str">
        <f>MML!J14</f>
        <v/>
      </c>
      <c r="Z15" s="19" t="str">
        <f>MML!K14</f>
        <v/>
      </c>
      <c r="AA15" s="19" t="str">
        <f>MML!L14</f>
        <v/>
      </c>
      <c r="AB15" s="19" t="str">
        <f>MML!M14</f>
        <v/>
      </c>
      <c r="AC15" s="19" t="str">
        <f>MML!N14</f>
        <v/>
      </c>
      <c r="AH15" s="11"/>
      <c r="AI15" s="11"/>
      <c r="AJ15" s="11"/>
      <c r="AK15" s="11"/>
      <c r="AL15" s="11"/>
      <c r="AM15" s="11"/>
      <c r="AN15" s="11"/>
      <c r="AO15" s="11"/>
      <c r="AP15" s="11"/>
      <c r="AQ15" s="11"/>
      <c r="AR15" s="11"/>
      <c r="AS15" s="11"/>
      <c r="AT15" s="11"/>
      <c r="AU15" s="11"/>
    </row>
    <row r="16" spans="1:66" ht="20" customHeight="1">
      <c r="A16" s="30" t="str">
        <f>IF(ISTEXT(Home!A14), Home!A14, "")</f>
        <v/>
      </c>
      <c r="B16" s="32">
        <v>13</v>
      </c>
      <c r="R16" s="19" t="str">
        <f>MML!C15</f>
        <v/>
      </c>
      <c r="S16" s="19" t="str">
        <f>MML!D15</f>
        <v/>
      </c>
      <c r="T16" s="19" t="str">
        <f>MML!E15</f>
        <v/>
      </c>
      <c r="U16" s="19" t="str">
        <f>MML!F15</f>
        <v/>
      </c>
      <c r="V16" s="19" t="str">
        <f>MML!G15</f>
        <v/>
      </c>
      <c r="W16" s="19" t="str">
        <f>MML!H15</f>
        <v/>
      </c>
      <c r="X16" s="19" t="str">
        <f>MML!I15</f>
        <v/>
      </c>
      <c r="Y16" s="19" t="str">
        <f>MML!J15</f>
        <v/>
      </c>
      <c r="Z16" s="19" t="str">
        <f>MML!K15</f>
        <v/>
      </c>
      <c r="AA16" s="19" t="str">
        <f>MML!L15</f>
        <v/>
      </c>
      <c r="AB16" s="19" t="str">
        <f>MML!M15</f>
        <v/>
      </c>
      <c r="AC16" s="19" t="str">
        <f>MML!N15</f>
        <v/>
      </c>
      <c r="AH16" s="11"/>
      <c r="AI16" s="11"/>
      <c r="AJ16" s="11"/>
      <c r="AK16" s="11"/>
      <c r="AL16" s="11"/>
      <c r="AM16" s="11"/>
      <c r="AN16" s="11"/>
      <c r="AO16" s="11"/>
      <c r="AP16" s="11"/>
      <c r="AQ16" s="11"/>
      <c r="AR16" s="11"/>
      <c r="AS16" s="11"/>
      <c r="AT16" s="11"/>
      <c r="AU16" s="11"/>
    </row>
    <row r="17" spans="1:47" ht="20" customHeight="1">
      <c r="A17" s="30" t="str">
        <f>IF(ISTEXT(Home!A15), Home!A15, "")</f>
        <v/>
      </c>
      <c r="B17" s="32">
        <v>14</v>
      </c>
      <c r="R17" s="19" t="str">
        <f>MML!C16</f>
        <v/>
      </c>
      <c r="S17" s="19" t="str">
        <f>MML!D16</f>
        <v/>
      </c>
      <c r="T17" s="19" t="str">
        <f>MML!E16</f>
        <v/>
      </c>
      <c r="U17" s="19" t="str">
        <f>MML!F16</f>
        <v/>
      </c>
      <c r="V17" s="19" t="str">
        <f>MML!G16</f>
        <v/>
      </c>
      <c r="W17" s="19" t="str">
        <f>MML!H16</f>
        <v/>
      </c>
      <c r="X17" s="19" t="str">
        <f>MML!I16</f>
        <v/>
      </c>
      <c r="Y17" s="19" t="str">
        <f>MML!J16</f>
        <v/>
      </c>
      <c r="Z17" s="19" t="str">
        <f>MML!K16</f>
        <v/>
      </c>
      <c r="AA17" s="19" t="str">
        <f>MML!L16</f>
        <v/>
      </c>
      <c r="AB17" s="19" t="str">
        <f>MML!M16</f>
        <v/>
      </c>
      <c r="AC17" s="19" t="str">
        <f>MML!N16</f>
        <v/>
      </c>
      <c r="AH17" s="11"/>
      <c r="AI17" s="11"/>
      <c r="AJ17" s="11"/>
      <c r="AK17" s="11"/>
      <c r="AL17" s="11"/>
      <c r="AM17" s="11"/>
      <c r="AN17" s="11"/>
      <c r="AO17" s="11"/>
      <c r="AP17" s="11"/>
      <c r="AQ17" s="11"/>
      <c r="AR17" s="11"/>
      <c r="AS17" s="11"/>
      <c r="AT17" s="11"/>
      <c r="AU17" s="11"/>
    </row>
    <row r="18" spans="1:47" ht="20" customHeight="1">
      <c r="A18" s="30" t="str">
        <f>IF(ISTEXT(Home!A16), Home!A16, "")</f>
        <v/>
      </c>
      <c r="B18" s="32">
        <v>15</v>
      </c>
      <c r="R18" s="19" t="str">
        <f>MML!C17</f>
        <v/>
      </c>
      <c r="S18" s="19" t="str">
        <f>MML!D17</f>
        <v/>
      </c>
      <c r="T18" s="19" t="str">
        <f>MML!E17</f>
        <v/>
      </c>
      <c r="U18" s="19" t="str">
        <f>MML!F17</f>
        <v/>
      </c>
      <c r="V18" s="19" t="str">
        <f>MML!G17</f>
        <v/>
      </c>
      <c r="W18" s="19" t="str">
        <f>MML!H17</f>
        <v/>
      </c>
      <c r="X18" s="19" t="str">
        <f>MML!I17</f>
        <v/>
      </c>
      <c r="Y18" s="19" t="str">
        <f>MML!J17</f>
        <v/>
      </c>
      <c r="Z18" s="19" t="str">
        <f>MML!K17</f>
        <v/>
      </c>
      <c r="AA18" s="19" t="str">
        <f>MML!L17</f>
        <v/>
      </c>
      <c r="AB18" s="19" t="str">
        <f>MML!M17</f>
        <v/>
      </c>
      <c r="AC18" s="19" t="str">
        <f>MML!N17</f>
        <v/>
      </c>
      <c r="AH18" s="11"/>
      <c r="AI18" s="11"/>
      <c r="AJ18" s="11"/>
      <c r="AK18" s="11"/>
      <c r="AL18" s="11"/>
      <c r="AM18" s="11"/>
      <c r="AN18" s="11"/>
      <c r="AO18" s="11"/>
      <c r="AP18" s="11"/>
      <c r="AQ18" s="11"/>
      <c r="AR18" s="11"/>
      <c r="AS18" s="11"/>
      <c r="AT18" s="11"/>
      <c r="AU18" s="11"/>
    </row>
    <row r="19" spans="1:47" ht="20" customHeight="1">
      <c r="A19" s="30" t="str">
        <f>IF(ISTEXT(Home!A17), Home!A17, "")</f>
        <v/>
      </c>
      <c r="B19" s="32">
        <v>16</v>
      </c>
      <c r="R19" s="19" t="str">
        <f>MML!C18</f>
        <v/>
      </c>
      <c r="S19" s="19" t="str">
        <f>MML!D18</f>
        <v/>
      </c>
      <c r="T19" s="19" t="str">
        <f>MML!E18</f>
        <v/>
      </c>
      <c r="U19" s="19" t="str">
        <f>MML!F18</f>
        <v/>
      </c>
      <c r="V19" s="19" t="str">
        <f>MML!G18</f>
        <v/>
      </c>
      <c r="W19" s="19" t="str">
        <f>MML!H18</f>
        <v/>
      </c>
      <c r="X19" s="19" t="str">
        <f>MML!I18</f>
        <v/>
      </c>
      <c r="Y19" s="19" t="str">
        <f>MML!J18</f>
        <v/>
      </c>
      <c r="Z19" s="19" t="str">
        <f>MML!K18</f>
        <v/>
      </c>
      <c r="AA19" s="19" t="str">
        <f>MML!L18</f>
        <v/>
      </c>
      <c r="AB19" s="19" t="str">
        <f>MML!M18</f>
        <v/>
      </c>
      <c r="AC19" s="19" t="str">
        <f>MML!N18</f>
        <v/>
      </c>
      <c r="AH19" s="11"/>
      <c r="AI19" s="11"/>
      <c r="AJ19" s="11"/>
      <c r="AK19" s="11"/>
      <c r="AL19" s="11"/>
      <c r="AM19" s="11"/>
      <c r="AN19" s="11"/>
      <c r="AO19" s="11"/>
      <c r="AP19" s="11"/>
      <c r="AQ19" s="11"/>
      <c r="AR19" s="11"/>
      <c r="AS19" s="11"/>
      <c r="AT19" s="11"/>
      <c r="AU19" s="11"/>
    </row>
    <row r="20" spans="1:47" ht="20" customHeight="1">
      <c r="A20" s="30" t="str">
        <f>IF(ISTEXT(Home!F2), Home!F2, "")</f>
        <v/>
      </c>
      <c r="B20" s="32">
        <v>17</v>
      </c>
      <c r="R20" s="19" t="str">
        <f>MML!C19</f>
        <v/>
      </c>
      <c r="S20" s="19" t="str">
        <f>MML!D19</f>
        <v/>
      </c>
      <c r="T20" s="19" t="str">
        <f>MML!E19</f>
        <v/>
      </c>
      <c r="U20" s="19" t="str">
        <f>MML!F19</f>
        <v/>
      </c>
      <c r="V20" s="19" t="str">
        <f>MML!G19</f>
        <v/>
      </c>
      <c r="W20" s="19" t="str">
        <f>MML!H19</f>
        <v/>
      </c>
      <c r="X20" s="19" t="str">
        <f>MML!I19</f>
        <v/>
      </c>
      <c r="Y20" s="19" t="str">
        <f>MML!J19</f>
        <v/>
      </c>
      <c r="Z20" s="19" t="str">
        <f>MML!K19</f>
        <v/>
      </c>
      <c r="AA20" s="19" t="str">
        <f>MML!L19</f>
        <v/>
      </c>
      <c r="AB20" s="19" t="str">
        <f>MML!M19</f>
        <v/>
      </c>
      <c r="AC20" s="19" t="str">
        <f>MML!N19</f>
        <v/>
      </c>
      <c r="AH20" s="11"/>
      <c r="AI20" s="11"/>
      <c r="AJ20" s="11"/>
      <c r="AK20" s="11"/>
      <c r="AL20" s="11"/>
      <c r="AM20" s="11"/>
      <c r="AN20" s="11"/>
      <c r="AO20" s="11"/>
      <c r="AP20" s="11"/>
      <c r="AQ20" s="11"/>
      <c r="AR20" s="11"/>
      <c r="AS20" s="11"/>
      <c r="AT20" s="11"/>
      <c r="AU20" s="11"/>
    </row>
    <row r="21" spans="1:47" ht="20" customHeight="1">
      <c r="A21" s="30" t="str">
        <f>IF(ISTEXT(Home!A19), Home!A19, "")</f>
        <v/>
      </c>
      <c r="B21" s="32">
        <v>18</v>
      </c>
      <c r="R21" s="19" t="str">
        <f>MML!C20</f>
        <v/>
      </c>
      <c r="S21" s="19" t="str">
        <f>MML!D20</f>
        <v/>
      </c>
      <c r="T21" s="19" t="str">
        <f>MML!E20</f>
        <v/>
      </c>
      <c r="U21" s="19" t="str">
        <f>MML!F20</f>
        <v/>
      </c>
      <c r="V21" s="19" t="str">
        <f>MML!G20</f>
        <v/>
      </c>
      <c r="W21" s="19" t="str">
        <f>MML!H20</f>
        <v/>
      </c>
      <c r="X21" s="19" t="str">
        <f>MML!I20</f>
        <v/>
      </c>
      <c r="Y21" s="19" t="str">
        <f>MML!J20</f>
        <v/>
      </c>
      <c r="Z21" s="19" t="str">
        <f>MML!K20</f>
        <v/>
      </c>
      <c r="AA21" s="19" t="str">
        <f>MML!L20</f>
        <v/>
      </c>
      <c r="AB21" s="19" t="str">
        <f>MML!M20</f>
        <v/>
      </c>
      <c r="AC21" s="19" t="str">
        <f>MML!N20</f>
        <v/>
      </c>
      <c r="AH21" s="11"/>
      <c r="AI21" s="11"/>
      <c r="AJ21" s="11"/>
      <c r="AK21" s="11"/>
      <c r="AL21" s="11"/>
      <c r="AM21" s="11"/>
      <c r="AN21" s="11"/>
      <c r="AO21" s="11"/>
      <c r="AP21" s="11"/>
      <c r="AQ21" s="11"/>
      <c r="AR21" s="11"/>
      <c r="AS21" s="11"/>
      <c r="AT21" s="11"/>
      <c r="AU21" s="11"/>
    </row>
    <row r="22" spans="1:47" ht="20" customHeight="1">
      <c r="A22" s="30" t="str">
        <f>IF(ISTEXT(Home!A20), Home!A20, "")</f>
        <v/>
      </c>
      <c r="B22" s="32">
        <v>19</v>
      </c>
      <c r="R22" s="19" t="str">
        <f>MML!C21</f>
        <v/>
      </c>
      <c r="S22" s="19" t="str">
        <f>MML!D21</f>
        <v/>
      </c>
      <c r="T22" s="19" t="str">
        <f>MML!E21</f>
        <v/>
      </c>
      <c r="U22" s="19" t="str">
        <f>MML!F21</f>
        <v/>
      </c>
      <c r="V22" s="19" t="str">
        <f>MML!G21</f>
        <v/>
      </c>
      <c r="W22" s="19" t="str">
        <f>MML!H21</f>
        <v/>
      </c>
      <c r="X22" s="19" t="str">
        <f>MML!I21</f>
        <v/>
      </c>
      <c r="Y22" s="19" t="str">
        <f>MML!J21</f>
        <v/>
      </c>
      <c r="Z22" s="19" t="str">
        <f>MML!K21</f>
        <v/>
      </c>
      <c r="AA22" s="19" t="str">
        <f>MML!L21</f>
        <v/>
      </c>
      <c r="AB22" s="19" t="str">
        <f>MML!M21</f>
        <v/>
      </c>
      <c r="AC22" s="19" t="str">
        <f>MML!N21</f>
        <v/>
      </c>
      <c r="AH22" s="11"/>
      <c r="AI22" s="11"/>
      <c r="AJ22" s="11"/>
      <c r="AK22" s="11"/>
      <c r="AL22" s="11"/>
      <c r="AM22" s="11"/>
      <c r="AN22" s="11"/>
      <c r="AO22" s="11"/>
      <c r="AP22" s="11"/>
      <c r="AQ22" s="11"/>
      <c r="AR22" s="11"/>
      <c r="AS22" s="11"/>
      <c r="AT22" s="11"/>
      <c r="AU22" s="11"/>
    </row>
    <row r="23" spans="1:47" ht="20" customHeight="1">
      <c r="A23" s="30" t="str">
        <f>IF(ISTEXT(Home!A21), Home!A21, "")</f>
        <v/>
      </c>
      <c r="B23" s="32">
        <v>20</v>
      </c>
      <c r="R23" s="19" t="str">
        <f>MML!C22</f>
        <v/>
      </c>
      <c r="S23" s="19" t="str">
        <f>MML!D22</f>
        <v/>
      </c>
      <c r="T23" s="19" t="str">
        <f>MML!E22</f>
        <v/>
      </c>
      <c r="U23" s="19" t="str">
        <f>MML!F22</f>
        <v/>
      </c>
      <c r="V23" s="19" t="str">
        <f>MML!G22</f>
        <v/>
      </c>
      <c r="W23" s="19" t="str">
        <f>MML!H22</f>
        <v/>
      </c>
      <c r="X23" s="19" t="str">
        <f>MML!I22</f>
        <v/>
      </c>
      <c r="Y23" s="19" t="str">
        <f>MML!J22</f>
        <v/>
      </c>
      <c r="Z23" s="19" t="str">
        <f>MML!K22</f>
        <v/>
      </c>
      <c r="AA23" s="19" t="str">
        <f>MML!L22</f>
        <v/>
      </c>
      <c r="AB23" s="19" t="str">
        <f>MML!M22</f>
        <v/>
      </c>
      <c r="AC23" s="19" t="str">
        <f>MML!N22</f>
        <v/>
      </c>
      <c r="AH23" s="11"/>
      <c r="AI23" s="11"/>
      <c r="AJ23" s="11"/>
      <c r="AK23" s="11"/>
      <c r="AL23" s="11"/>
      <c r="AM23" s="11"/>
      <c r="AN23" s="11"/>
      <c r="AO23" s="11"/>
      <c r="AP23" s="11"/>
      <c r="AQ23" s="11"/>
      <c r="AR23" s="11"/>
      <c r="AS23" s="11"/>
      <c r="AT23" s="11"/>
      <c r="AU23" s="11"/>
    </row>
    <row r="24" spans="1:47" ht="20" customHeight="1">
      <c r="A24" s="30" t="str">
        <f>IF(ISTEXT(Home!A22), Home!A22, "")</f>
        <v/>
      </c>
      <c r="B24" s="32">
        <v>21</v>
      </c>
      <c r="R24" s="19" t="str">
        <f>MML!C23</f>
        <v/>
      </c>
      <c r="S24" s="19" t="str">
        <f>MML!D23</f>
        <v/>
      </c>
      <c r="T24" s="19" t="str">
        <f>MML!E23</f>
        <v/>
      </c>
      <c r="U24" s="19" t="str">
        <f>MML!F23</f>
        <v/>
      </c>
      <c r="V24" s="19" t="str">
        <f>MML!G23</f>
        <v/>
      </c>
      <c r="W24" s="19" t="str">
        <f>MML!H23</f>
        <v/>
      </c>
      <c r="X24" s="19" t="str">
        <f>MML!I23</f>
        <v/>
      </c>
      <c r="Y24" s="19" t="str">
        <f>MML!J23</f>
        <v/>
      </c>
      <c r="Z24" s="19" t="str">
        <f>MML!K23</f>
        <v/>
      </c>
      <c r="AA24" s="19" t="str">
        <f>MML!L23</f>
        <v/>
      </c>
      <c r="AB24" s="19" t="str">
        <f>MML!M23</f>
        <v/>
      </c>
      <c r="AC24" s="19" t="str">
        <f>MML!N23</f>
        <v/>
      </c>
      <c r="AH24" s="11"/>
      <c r="AI24" s="11"/>
      <c r="AJ24" s="11"/>
      <c r="AK24" s="11"/>
      <c r="AL24" s="11"/>
      <c r="AM24" s="11"/>
      <c r="AN24" s="11"/>
      <c r="AO24" s="11"/>
      <c r="AP24" s="11"/>
      <c r="AQ24" s="11"/>
      <c r="AR24" s="11"/>
      <c r="AS24" s="11"/>
      <c r="AT24" s="11"/>
      <c r="AU24" s="11"/>
    </row>
    <row r="25" spans="1:47" ht="20" customHeight="1">
      <c r="A25" s="30"/>
      <c r="B25" s="32">
        <v>22</v>
      </c>
      <c r="R25" s="19" t="str">
        <f>MML!C24</f>
        <v/>
      </c>
      <c r="S25" s="19" t="str">
        <f>MML!D24</f>
        <v/>
      </c>
      <c r="T25" s="19" t="str">
        <f>MML!E24</f>
        <v/>
      </c>
      <c r="U25" s="19" t="str">
        <f>MML!F24</f>
        <v/>
      </c>
      <c r="V25" s="19" t="str">
        <f>MML!G24</f>
        <v/>
      </c>
      <c r="W25" s="19" t="str">
        <f>MML!H24</f>
        <v/>
      </c>
      <c r="X25" s="19" t="str">
        <f>MML!I24</f>
        <v/>
      </c>
      <c r="Y25" s="19" t="str">
        <f>MML!J24</f>
        <v/>
      </c>
      <c r="Z25" s="19" t="str">
        <f>MML!K24</f>
        <v/>
      </c>
      <c r="AA25" s="19" t="str">
        <f>MML!L24</f>
        <v/>
      </c>
      <c r="AB25" s="19" t="str">
        <f>MML!M24</f>
        <v/>
      </c>
      <c r="AC25" s="19" t="str">
        <f>MML!N24</f>
        <v/>
      </c>
      <c r="AH25" s="11"/>
      <c r="AI25" s="11"/>
      <c r="AJ25" s="11"/>
      <c r="AK25" s="11"/>
      <c r="AL25" s="11"/>
      <c r="AM25" s="11"/>
      <c r="AN25" s="11"/>
      <c r="AO25" s="11"/>
      <c r="AP25" s="11"/>
      <c r="AQ25" s="11"/>
      <c r="AR25" s="11"/>
      <c r="AS25" s="11"/>
      <c r="AT25" s="11"/>
      <c r="AU25" s="11"/>
    </row>
    <row r="26" spans="1:47" ht="20" customHeight="1">
      <c r="A26" s="30" t="str">
        <f>IF(ISTEXT(Home!A24), Home!A24, "")</f>
        <v/>
      </c>
      <c r="B26" s="32">
        <v>23</v>
      </c>
      <c r="R26" s="19" t="str">
        <f>MML!C25</f>
        <v/>
      </c>
      <c r="S26" s="19" t="str">
        <f>MML!D25</f>
        <v/>
      </c>
      <c r="T26" s="19" t="str">
        <f>MML!E25</f>
        <v/>
      </c>
      <c r="U26" s="19" t="str">
        <f>MML!F25</f>
        <v/>
      </c>
      <c r="V26" s="19" t="str">
        <f>MML!G25</f>
        <v/>
      </c>
      <c r="W26" s="19" t="str">
        <f>MML!H25</f>
        <v/>
      </c>
      <c r="X26" s="19" t="str">
        <f>MML!I25</f>
        <v/>
      </c>
      <c r="Y26" s="19" t="str">
        <f>MML!J25</f>
        <v/>
      </c>
      <c r="Z26" s="19" t="str">
        <f>MML!K25</f>
        <v/>
      </c>
      <c r="AA26" s="19" t="str">
        <f>MML!L25</f>
        <v/>
      </c>
      <c r="AB26" s="19" t="str">
        <f>MML!M25</f>
        <v/>
      </c>
      <c r="AC26" s="19" t="str">
        <f>MML!N25</f>
        <v/>
      </c>
      <c r="AH26" s="11"/>
      <c r="AI26" s="11"/>
      <c r="AJ26" s="11"/>
      <c r="AK26" s="11"/>
      <c r="AL26" s="11"/>
      <c r="AM26" s="11"/>
      <c r="AN26" s="11"/>
      <c r="AO26" s="11"/>
      <c r="AP26" s="11"/>
      <c r="AQ26" s="11"/>
      <c r="AR26" s="11"/>
      <c r="AS26" s="11"/>
      <c r="AT26" s="11"/>
      <c r="AU26" s="11"/>
    </row>
    <row r="27" spans="1:47" ht="20" customHeight="1">
      <c r="A27" s="30" t="str">
        <f>IF(ISTEXT(Home!A25), Home!A25, "")</f>
        <v/>
      </c>
      <c r="B27" s="32">
        <v>24</v>
      </c>
      <c r="R27" s="19" t="str">
        <f>MML!C26</f>
        <v/>
      </c>
      <c r="S27" s="19" t="str">
        <f>MML!D26</f>
        <v/>
      </c>
      <c r="T27" s="19" t="str">
        <f>MML!E26</f>
        <v/>
      </c>
      <c r="U27" s="19" t="str">
        <f>MML!F26</f>
        <v/>
      </c>
      <c r="V27" s="19" t="str">
        <f>MML!G26</f>
        <v/>
      </c>
      <c r="W27" s="19" t="str">
        <f>MML!H26</f>
        <v/>
      </c>
      <c r="X27" s="19" t="str">
        <f>MML!I26</f>
        <v/>
      </c>
      <c r="Y27" s="19" t="str">
        <f>MML!J26</f>
        <v/>
      </c>
      <c r="Z27" s="19" t="str">
        <f>MML!K26</f>
        <v/>
      </c>
      <c r="AA27" s="19" t="str">
        <f>MML!L26</f>
        <v/>
      </c>
      <c r="AB27" s="19" t="str">
        <f>MML!M26</f>
        <v/>
      </c>
      <c r="AC27" s="19" t="str">
        <f>MML!N26</f>
        <v/>
      </c>
      <c r="AH27" s="11"/>
      <c r="AI27" s="11"/>
      <c r="AJ27" s="11"/>
      <c r="AK27" s="11"/>
      <c r="AL27" s="11"/>
      <c r="AM27" s="11"/>
      <c r="AN27" s="11"/>
      <c r="AO27" s="11"/>
      <c r="AP27" s="11"/>
      <c r="AQ27" s="11"/>
      <c r="AR27" s="11"/>
      <c r="AS27" s="11"/>
      <c r="AT27" s="11"/>
      <c r="AU27" s="11"/>
    </row>
    <row r="28" spans="1:47" ht="20" customHeight="1">
      <c r="A28" s="30" t="str">
        <f>IF(ISTEXT(Home!A26), Home!A26, "")</f>
        <v/>
      </c>
      <c r="B28" s="32">
        <v>25</v>
      </c>
      <c r="R28" s="19" t="str">
        <f>MML!C27</f>
        <v/>
      </c>
      <c r="S28" s="19" t="str">
        <f>MML!D27</f>
        <v/>
      </c>
      <c r="T28" s="19" t="str">
        <f>MML!E27</f>
        <v/>
      </c>
      <c r="U28" s="19" t="str">
        <f>MML!F27</f>
        <v/>
      </c>
      <c r="V28" s="19" t="str">
        <f>MML!G27</f>
        <v/>
      </c>
      <c r="W28" s="19" t="str">
        <f>MML!H27</f>
        <v/>
      </c>
      <c r="X28" s="19" t="str">
        <f>MML!I27</f>
        <v/>
      </c>
      <c r="Y28" s="19" t="str">
        <f>MML!J27</f>
        <v/>
      </c>
      <c r="Z28" s="19" t="str">
        <f>MML!K27</f>
        <v/>
      </c>
      <c r="AA28" s="19" t="str">
        <f>MML!L27</f>
        <v/>
      </c>
      <c r="AB28" s="19" t="str">
        <f>MML!M27</f>
        <v/>
      </c>
      <c r="AC28" s="19" t="str">
        <f>MML!N27</f>
        <v/>
      </c>
      <c r="AH28" s="11"/>
      <c r="AI28" s="11"/>
      <c r="AJ28" s="11"/>
      <c r="AK28" s="11"/>
      <c r="AL28" s="11"/>
      <c r="AM28" s="11"/>
      <c r="AN28" s="11"/>
      <c r="AO28" s="11"/>
      <c r="AP28" s="11"/>
      <c r="AQ28" s="11"/>
      <c r="AR28" s="11"/>
      <c r="AS28" s="11"/>
      <c r="AT28" s="11"/>
      <c r="AU28" s="11"/>
    </row>
    <row r="29" spans="1:47" ht="20" customHeight="1">
      <c r="A29" s="32" t="str">
        <f>IF(ISTEXT(Home!A27), Home!A27, "")</f>
        <v/>
      </c>
      <c r="B29" s="32">
        <v>26</v>
      </c>
      <c r="R29" s="19" t="str">
        <f>MML!C28</f>
        <v/>
      </c>
      <c r="S29" s="19" t="str">
        <f>MML!D28</f>
        <v/>
      </c>
      <c r="T29" s="19" t="str">
        <f>MML!E28</f>
        <v/>
      </c>
      <c r="U29" s="19" t="str">
        <f>MML!F28</f>
        <v/>
      </c>
      <c r="V29" s="19" t="str">
        <f>MML!G28</f>
        <v/>
      </c>
      <c r="W29" s="19" t="str">
        <f>MML!H28</f>
        <v/>
      </c>
      <c r="X29" s="19" t="str">
        <f>MML!I28</f>
        <v/>
      </c>
      <c r="Y29" s="19" t="str">
        <f>MML!J28</f>
        <v/>
      </c>
      <c r="Z29" s="19" t="str">
        <f>MML!K28</f>
        <v/>
      </c>
      <c r="AA29" s="19" t="str">
        <f>MML!L28</f>
        <v/>
      </c>
      <c r="AB29" s="19" t="str">
        <f>MML!M28</f>
        <v/>
      </c>
      <c r="AC29" s="19" t="str">
        <f>MML!N28</f>
        <v/>
      </c>
      <c r="AH29" s="11"/>
      <c r="AI29" s="11"/>
      <c r="AJ29" s="11"/>
      <c r="AK29" s="11"/>
      <c r="AL29" s="11"/>
      <c r="AM29" s="11"/>
      <c r="AN29" s="11"/>
      <c r="AO29" s="11"/>
      <c r="AP29" s="11"/>
      <c r="AQ29" s="11"/>
      <c r="AR29" s="11"/>
      <c r="AS29" s="11"/>
      <c r="AT29" s="11"/>
      <c r="AU29" s="11"/>
    </row>
    <row r="30" spans="1:47" ht="20" customHeight="1">
      <c r="A30" s="32" t="str">
        <f>IF(ISTEXT(Home!A28), Home!A28, "")</f>
        <v/>
      </c>
      <c r="B30" s="32">
        <v>27</v>
      </c>
      <c r="R30" s="19" t="str">
        <f>MML!C29</f>
        <v/>
      </c>
      <c r="S30" s="19" t="str">
        <f>MML!D29</f>
        <v/>
      </c>
      <c r="T30" s="19" t="str">
        <f>MML!E29</f>
        <v/>
      </c>
      <c r="U30" s="19" t="str">
        <f>MML!F29</f>
        <v/>
      </c>
      <c r="V30" s="19" t="str">
        <f>MML!G29</f>
        <v/>
      </c>
      <c r="W30" s="19" t="str">
        <f>MML!H29</f>
        <v/>
      </c>
      <c r="X30" s="19" t="str">
        <f>MML!I29</f>
        <v/>
      </c>
      <c r="Y30" s="19" t="str">
        <f>MML!J29</f>
        <v/>
      </c>
      <c r="Z30" s="19" t="str">
        <f>MML!K29</f>
        <v/>
      </c>
      <c r="AA30" s="19" t="str">
        <f>MML!L29</f>
        <v/>
      </c>
      <c r="AB30" s="19" t="str">
        <f>MML!M29</f>
        <v/>
      </c>
      <c r="AC30" s="19" t="str">
        <f>MML!N29</f>
        <v/>
      </c>
      <c r="AH30" s="11"/>
      <c r="AI30" s="11"/>
      <c r="AJ30" s="11"/>
      <c r="AK30" s="11"/>
      <c r="AL30" s="11"/>
      <c r="AM30" s="11"/>
      <c r="AN30" s="11"/>
      <c r="AO30" s="11"/>
      <c r="AP30" s="11"/>
      <c r="AQ30" s="11"/>
      <c r="AR30" s="11"/>
      <c r="AS30" s="11"/>
      <c r="AT30" s="11"/>
      <c r="AU30" s="11"/>
    </row>
    <row r="31" spans="1:47" ht="20" customHeight="1">
      <c r="A31" s="32" t="str">
        <f>IF(ISTEXT(Home!A29), Home!A29, "")</f>
        <v/>
      </c>
      <c r="B31" s="32">
        <v>28</v>
      </c>
      <c r="R31" s="19" t="str">
        <f>MML!C30</f>
        <v/>
      </c>
      <c r="S31" s="19" t="str">
        <f>MML!D30</f>
        <v/>
      </c>
      <c r="T31" s="19" t="str">
        <f>MML!E30</f>
        <v/>
      </c>
      <c r="U31" s="19" t="str">
        <f>MML!F30</f>
        <v/>
      </c>
      <c r="V31" s="19" t="str">
        <f>MML!G30</f>
        <v/>
      </c>
      <c r="W31" s="19" t="str">
        <f>MML!H30</f>
        <v/>
      </c>
      <c r="X31" s="19" t="str">
        <f>MML!I30</f>
        <v/>
      </c>
      <c r="Y31" s="19" t="str">
        <f>MML!J30</f>
        <v/>
      </c>
      <c r="Z31" s="19" t="str">
        <f>MML!K30</f>
        <v/>
      </c>
      <c r="AA31" s="19" t="str">
        <f>MML!L30</f>
        <v/>
      </c>
      <c r="AB31" s="19" t="str">
        <f>MML!M30</f>
        <v/>
      </c>
      <c r="AC31" s="19" t="str">
        <f>MML!N30</f>
        <v/>
      </c>
      <c r="AH31" s="11"/>
      <c r="AI31" s="11"/>
      <c r="AJ31" s="11"/>
      <c r="AK31" s="11"/>
      <c r="AL31" s="11"/>
      <c r="AM31" s="11"/>
      <c r="AN31" s="11"/>
      <c r="AO31" s="11"/>
      <c r="AP31" s="11"/>
      <c r="AQ31" s="11"/>
      <c r="AR31" s="11"/>
      <c r="AS31" s="11"/>
      <c r="AT31" s="11"/>
      <c r="AU31" s="11"/>
    </row>
    <row r="32" spans="1:47" ht="20" customHeight="1">
      <c r="A32" s="32" t="str">
        <f>IF(ISTEXT(Home!A30), Home!A30, "")</f>
        <v/>
      </c>
      <c r="B32" s="32">
        <v>29</v>
      </c>
      <c r="R32" s="19" t="str">
        <f>MML!C31</f>
        <v/>
      </c>
      <c r="S32" s="19" t="str">
        <f>MML!D31</f>
        <v/>
      </c>
      <c r="T32" s="19" t="str">
        <f>MML!E31</f>
        <v/>
      </c>
      <c r="U32" s="19" t="str">
        <f>MML!F31</f>
        <v/>
      </c>
      <c r="V32" s="19" t="str">
        <f>MML!G31</f>
        <v/>
      </c>
      <c r="W32" s="19" t="str">
        <f>MML!H31</f>
        <v/>
      </c>
      <c r="X32" s="19" t="str">
        <f>MML!I31</f>
        <v/>
      </c>
      <c r="Y32" s="19" t="str">
        <f>MML!J31</f>
        <v/>
      </c>
      <c r="Z32" s="19" t="str">
        <f>MML!K31</f>
        <v/>
      </c>
      <c r="AA32" s="19" t="str">
        <f>MML!L31</f>
        <v/>
      </c>
      <c r="AB32" s="19" t="str">
        <f>MML!M31</f>
        <v/>
      </c>
      <c r="AC32" s="19" t="str">
        <f>MML!N31</f>
        <v/>
      </c>
      <c r="AH32" s="11"/>
      <c r="AI32" s="11"/>
      <c r="AJ32" s="11"/>
      <c r="AK32" s="11"/>
      <c r="AL32" s="11"/>
      <c r="AM32" s="11"/>
      <c r="AN32" s="11"/>
      <c r="AO32" s="11"/>
      <c r="AP32" s="11"/>
      <c r="AQ32" s="11"/>
      <c r="AR32" s="11"/>
      <c r="AS32" s="11"/>
      <c r="AT32" s="11"/>
      <c r="AU32" s="11"/>
    </row>
    <row r="33" spans="1:47" s="32" customFormat="1" ht="20" customHeight="1">
      <c r="A33" s="32" t="str">
        <f>IF(ISTEXT(Home!A31), Home!A31, "")</f>
        <v/>
      </c>
      <c r="B33" s="32">
        <v>30</v>
      </c>
      <c r="AH33" s="11"/>
      <c r="AI33" s="11"/>
      <c r="AJ33" s="11"/>
      <c r="AK33" s="11"/>
      <c r="AL33" s="11"/>
      <c r="AM33" s="11"/>
      <c r="AN33" s="11"/>
      <c r="AO33" s="11"/>
      <c r="AP33" s="11"/>
      <c r="AQ33" s="11"/>
      <c r="AR33" s="11"/>
      <c r="AS33" s="11"/>
      <c r="AT33" s="11"/>
      <c r="AU33" s="11"/>
    </row>
    <row r="34" spans="1:47" s="32" customFormat="1" ht="20" customHeight="1">
      <c r="A34" s="32" t="str">
        <f>IF(ISTEXT(Home!A32), Home!A32, "")</f>
        <v/>
      </c>
      <c r="B34" s="32">
        <v>31</v>
      </c>
      <c r="AH34" s="11"/>
      <c r="AI34" s="11"/>
      <c r="AJ34" s="11"/>
      <c r="AK34" s="11"/>
      <c r="AL34" s="11"/>
      <c r="AM34" s="11"/>
      <c r="AN34" s="11"/>
      <c r="AO34" s="11"/>
      <c r="AP34" s="11"/>
      <c r="AQ34" s="11"/>
      <c r="AR34" s="11"/>
      <c r="AS34" s="11"/>
      <c r="AT34" s="11"/>
      <c r="AU34" s="11"/>
    </row>
    <row r="35" spans="1:47" ht="20" customHeight="1">
      <c r="A35" s="32" t="str">
        <f>IF(ISTEXT(Home!A33), Home!A33, "")</f>
        <v/>
      </c>
      <c r="B35" s="32">
        <v>32</v>
      </c>
      <c r="R35" s="19" t="str">
        <f>MML!C32</f>
        <v/>
      </c>
      <c r="S35" s="19" t="str">
        <f>MML!D32</f>
        <v/>
      </c>
      <c r="T35" s="19" t="str">
        <f>MML!E32</f>
        <v/>
      </c>
      <c r="U35" s="19" t="str">
        <f>MML!F32</f>
        <v/>
      </c>
      <c r="V35" s="19" t="str">
        <f>MML!G32</f>
        <v/>
      </c>
      <c r="W35" s="19" t="str">
        <f>MML!H32</f>
        <v/>
      </c>
      <c r="X35" s="19" t="str">
        <f>MML!I32</f>
        <v/>
      </c>
      <c r="Y35" s="19" t="str">
        <f>MML!J32</f>
        <v/>
      </c>
      <c r="Z35" s="19" t="str">
        <f>MML!K32</f>
        <v/>
      </c>
      <c r="AA35" s="19" t="str">
        <f>MML!L32</f>
        <v/>
      </c>
      <c r="AB35" s="19" t="str">
        <f>MML!M32</f>
        <v/>
      </c>
      <c r="AC35" s="19" t="str">
        <f>MML!N32</f>
        <v/>
      </c>
      <c r="AH35" s="11"/>
      <c r="AI35" s="11"/>
      <c r="AJ35" s="11"/>
      <c r="AK35" s="11"/>
      <c r="AL35" s="11"/>
      <c r="AM35" s="11"/>
      <c r="AN35" s="11"/>
      <c r="AO35" s="11"/>
      <c r="AP35" s="11"/>
      <c r="AQ35" s="11"/>
      <c r="AR35" s="11"/>
      <c r="AS35" s="11"/>
      <c r="AT35" s="11"/>
      <c r="AU35" s="11"/>
    </row>
    <row r="36" spans="1:47" ht="20" customHeight="1">
      <c r="A36" s="32" t="str">
        <f>IF(ISTEXT(Home!A34), Home!A34, "")</f>
        <v/>
      </c>
      <c r="B36" s="32">
        <v>33</v>
      </c>
      <c r="AH36" s="11"/>
      <c r="AI36" s="11"/>
      <c r="AJ36" s="11"/>
      <c r="AK36" s="11"/>
      <c r="AL36" s="11"/>
      <c r="AM36" s="11"/>
      <c r="AN36" s="11"/>
      <c r="AO36" s="11"/>
      <c r="AP36" s="11"/>
      <c r="AQ36" s="11"/>
      <c r="AR36" s="11"/>
      <c r="AS36" s="11"/>
      <c r="AT36" s="11"/>
      <c r="AU36" s="11"/>
    </row>
    <row r="37" spans="1:47" ht="20" customHeight="1">
      <c r="A37" s="32" t="str">
        <f>IF(ISTEXT(Home!A35), Home!A35, "")</f>
        <v/>
      </c>
      <c r="B37" s="32">
        <v>34</v>
      </c>
      <c r="AH37" s="11"/>
      <c r="AI37" s="11"/>
      <c r="AJ37" s="11"/>
      <c r="AK37" s="11"/>
      <c r="AL37" s="11"/>
      <c r="AM37" s="11"/>
      <c r="AN37" s="11"/>
      <c r="AO37" s="11"/>
      <c r="AP37" s="11"/>
      <c r="AQ37" s="11"/>
      <c r="AR37" s="11"/>
      <c r="AS37" s="11"/>
      <c r="AT37" s="11"/>
      <c r="AU37" s="11"/>
    </row>
    <row r="38" spans="1:47" ht="20" customHeight="1">
      <c r="A38" s="32" t="str">
        <f>IF(ISTEXT(Home!A36), Home!A36, "")</f>
        <v/>
      </c>
      <c r="B38" s="32">
        <v>35</v>
      </c>
      <c r="AH38" s="11"/>
      <c r="AI38" s="11"/>
      <c r="AJ38" s="11"/>
      <c r="AK38" s="11"/>
      <c r="AL38" s="11"/>
      <c r="AM38" s="11"/>
      <c r="AN38" s="11"/>
      <c r="AO38" s="11"/>
      <c r="AP38" s="11"/>
      <c r="AQ38" s="11"/>
      <c r="AR38" s="11"/>
      <c r="AS38" s="11"/>
      <c r="AT38" s="11"/>
      <c r="AU38" s="11"/>
    </row>
    <row r="39" spans="1:47" ht="20" customHeight="1">
      <c r="A39" s="32" t="str">
        <f>IF(ISTEXT(Home!A37), Home!A37, "")</f>
        <v/>
      </c>
      <c r="B39" s="32">
        <v>36</v>
      </c>
      <c r="AH39" s="11"/>
      <c r="AI39" s="11"/>
      <c r="AJ39" s="11"/>
      <c r="AK39" s="11"/>
      <c r="AL39" s="11"/>
      <c r="AM39" s="11"/>
      <c r="AN39" s="11"/>
      <c r="AO39" s="11"/>
      <c r="AP39" s="11"/>
      <c r="AQ39" s="11"/>
      <c r="AR39" s="11"/>
      <c r="AS39" s="11"/>
      <c r="AT39" s="11"/>
      <c r="AU39" s="11"/>
    </row>
    <row r="40" spans="1:47" s="27" customFormat="1" ht="20" customHeight="1">
      <c r="A40" s="27" t="s">
        <v>58</v>
      </c>
      <c r="B40" s="32">
        <v>37</v>
      </c>
      <c r="R40" s="27">
        <f>MML!C33</f>
        <v>0</v>
      </c>
      <c r="S40" s="27">
        <f>MML!D33</f>
        <v>0</v>
      </c>
      <c r="T40" s="27">
        <f>MML!E33</f>
        <v>0</v>
      </c>
      <c r="U40" s="27">
        <f>MML!F33</f>
        <v>0</v>
      </c>
      <c r="V40" s="27">
        <f>MML!G33</f>
        <v>0</v>
      </c>
      <c r="W40" s="27">
        <f>MML!H33</f>
        <v>0</v>
      </c>
      <c r="X40" s="27">
        <f>MML!I33</f>
        <v>0</v>
      </c>
      <c r="Y40" s="27">
        <f>MML!J33</f>
        <v>0</v>
      </c>
      <c r="Z40" s="27">
        <f>MML!K33</f>
        <v>0</v>
      </c>
      <c r="AA40" s="27">
        <f>MML!L33</f>
        <v>0</v>
      </c>
      <c r="AB40" s="27">
        <f>MML!M33</f>
        <v>0</v>
      </c>
      <c r="AC40" s="27">
        <f>MML!N33</f>
        <v>0</v>
      </c>
      <c r="AH40" s="34"/>
      <c r="AI40" s="34"/>
      <c r="AJ40" s="34"/>
      <c r="AK40" s="34"/>
      <c r="AL40" s="34"/>
      <c r="AM40" s="34"/>
      <c r="AN40" s="34"/>
      <c r="AO40" s="34"/>
      <c r="AP40" s="34"/>
      <c r="AQ40" s="34"/>
      <c r="AR40" s="34"/>
      <c r="AS40" s="34"/>
      <c r="AT40" s="34"/>
      <c r="AU40" s="34"/>
    </row>
    <row r="41" spans="1:47" s="29" customFormat="1" ht="20" customHeight="1">
      <c r="A41" s="29" t="s">
        <v>59</v>
      </c>
      <c r="B41" s="32">
        <v>38</v>
      </c>
      <c r="H41" s="33"/>
      <c r="I41" s="33"/>
      <c r="J41" s="33"/>
      <c r="K41" s="33"/>
      <c r="L41" s="33"/>
      <c r="M41" s="33"/>
      <c r="N41" s="33"/>
      <c r="O41" s="33"/>
      <c r="P41" s="33"/>
      <c r="R41" s="29">
        <f>MML!C34</f>
        <v>0</v>
      </c>
      <c r="S41" s="29">
        <f>MML!D34</f>
        <v>0</v>
      </c>
      <c r="T41" s="29">
        <f>MML!E34</f>
        <v>0</v>
      </c>
      <c r="U41" s="29">
        <f>MML!F34</f>
        <v>0</v>
      </c>
      <c r="V41" s="29">
        <f>MML!G34</f>
        <v>0</v>
      </c>
      <c r="W41" s="29">
        <f>MML!H34</f>
        <v>0</v>
      </c>
      <c r="X41" s="29">
        <f>MML!I34</f>
        <v>0</v>
      </c>
      <c r="Y41" s="29">
        <f>MML!J34</f>
        <v>0</v>
      </c>
      <c r="Z41" s="29">
        <f>MML!K34</f>
        <v>0</v>
      </c>
      <c r="AA41" s="29">
        <f>MML!L34</f>
        <v>0</v>
      </c>
      <c r="AB41" s="29">
        <f>MML!M34</f>
        <v>0</v>
      </c>
      <c r="AC41" s="29">
        <f>MML!N34</f>
        <v>0</v>
      </c>
      <c r="AH41" s="28"/>
      <c r="AI41" s="28"/>
      <c r="AJ41" s="28"/>
      <c r="AK41" s="28"/>
      <c r="AL41" s="28"/>
      <c r="AM41" s="28"/>
      <c r="AN41" s="28"/>
      <c r="AO41" s="28"/>
      <c r="AP41" s="28"/>
      <c r="AQ41" s="28"/>
      <c r="AR41" s="28"/>
      <c r="AS41" s="28"/>
      <c r="AT41" s="28"/>
      <c r="AU41" s="28"/>
    </row>
  </sheetData>
  <mergeCells count="15">
    <mergeCell ref="G2:Q2"/>
    <mergeCell ref="A1:A3"/>
    <mergeCell ref="B1:B3"/>
    <mergeCell ref="C1:C3"/>
    <mergeCell ref="G1:Q1"/>
    <mergeCell ref="D2:D3"/>
    <mergeCell ref="E2:E3"/>
    <mergeCell ref="F2:F3"/>
    <mergeCell ref="AH2:AK2"/>
    <mergeCell ref="AH1:AV1"/>
    <mergeCell ref="AZ1:BN1"/>
    <mergeCell ref="AZ2:BC2"/>
    <mergeCell ref="R2:AC2"/>
    <mergeCell ref="R1:AC1"/>
    <mergeCell ref="AD2:AD3"/>
  </mergeCells>
  <conditionalFormatting sqref="AL3">
    <cfRule type="cellIs" dxfId="22" priority="2" operator="greaterThan">
      <formula>100</formula>
    </cfRule>
  </conditionalFormatting>
  <conditionalFormatting sqref="BD3">
    <cfRule type="cellIs" dxfId="21" priority="1" operator="greaterThan">
      <formula>100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DuplicateSheet" altText="Generate Report_x000a_">
                <anchor moveWithCells="1" sizeWithCells="1">
                  <from>
                    <xdr:col>37</xdr:col>
                    <xdr:colOff>25400</xdr:colOff>
                    <xdr:row>43</xdr:row>
                    <xdr:rowOff>241300</xdr:rowOff>
                  </from>
                  <to>
                    <xdr:col>38</xdr:col>
                    <xdr:colOff>723900</xdr:colOff>
                    <xdr:row>45</xdr:row>
                    <xdr:rowOff>114300</xdr:rowOff>
                  </to>
                </anchor>
              </controlPr>
            </control>
          </mc:Choice>
        </mc:AlternateContent>
        <mc:AlternateContent xmlns:mc="http://schemas.openxmlformats.org/markup-compatibility/2006">
          <mc:Choice Requires="x14">
            <control shapeId="11267" r:id="rId4" name="Button 3">
              <controlPr defaultSize="0" print="0" autoFill="0" autoPict="0" macro="[0]!DeleteSheet" altText="Generate Report_x000a_">
                <anchor moveWithCells="1" sizeWithCells="1">
                  <from>
                    <xdr:col>39</xdr:col>
                    <xdr:colOff>635000</xdr:colOff>
                    <xdr:row>44</xdr:row>
                    <xdr:rowOff>0</xdr:rowOff>
                  </from>
                  <to>
                    <xdr:col>41</xdr:col>
                    <xdr:colOff>457200</xdr:colOff>
                    <xdr:row>45</xdr:row>
                    <xdr:rowOff>88900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D9667-F33F-9E46-B69C-0129038F3226}">
  <sheetPr codeName="Sheet2"/>
  <dimension ref="B4:T1089"/>
  <sheetViews>
    <sheetView workbookViewId="0">
      <selection sqref="A1:XFD1048576"/>
    </sheetView>
  </sheetViews>
  <sheetFormatPr baseColWidth="10" defaultRowHeight="20" customHeight="1"/>
  <cols>
    <col min="1" max="1" width="5.1640625" customWidth="1"/>
    <col min="2" max="2" width="7.33203125" customWidth="1"/>
    <col min="3" max="3" width="7.83203125" customWidth="1"/>
    <col min="5" max="5" width="8.33203125" customWidth="1"/>
    <col min="6" max="6" width="7.33203125" customWidth="1"/>
    <col min="7" max="7" width="10.33203125" customWidth="1"/>
    <col min="9" max="9" width="6.6640625" customWidth="1"/>
    <col min="10" max="10" width="7.6640625" customWidth="1"/>
    <col min="11" max="11" width="6.1640625" customWidth="1"/>
  </cols>
  <sheetData>
    <row r="4" spans="3:10" ht="20" customHeight="1">
      <c r="C4" s="119" t="s">
        <v>82</v>
      </c>
      <c r="D4" s="119"/>
      <c r="E4" s="119"/>
      <c r="F4" s="119"/>
      <c r="G4" s="119"/>
      <c r="H4" s="119"/>
    </row>
    <row r="5" spans="3:10" ht="20" customHeight="1">
      <c r="C5" s="119"/>
      <c r="D5" s="119"/>
      <c r="E5" s="119"/>
      <c r="F5" s="119"/>
      <c r="G5" s="119"/>
      <c r="H5" s="119"/>
    </row>
    <row r="7" spans="3:10" ht="20" customHeight="1">
      <c r="D7" s="38" t="s">
        <v>83</v>
      </c>
      <c r="E7" s="120"/>
      <c r="F7" s="120"/>
      <c r="G7" s="120"/>
      <c r="H7" s="120"/>
    </row>
    <row r="8" spans="3:10" ht="20" customHeight="1">
      <c r="D8" s="38"/>
      <c r="E8" s="38"/>
      <c r="F8" s="38"/>
      <c r="G8" s="38"/>
    </row>
    <row r="9" spans="3:10" ht="20" customHeight="1">
      <c r="C9" s="121" t="s">
        <v>84</v>
      </c>
      <c r="D9" s="122"/>
      <c r="E9" s="122"/>
      <c r="F9" s="122"/>
      <c r="G9" s="122"/>
      <c r="H9" s="123"/>
    </row>
    <row r="10" spans="3:10" ht="20" customHeight="1">
      <c r="C10" s="124"/>
      <c r="D10" s="125"/>
      <c r="E10" s="125"/>
      <c r="F10" s="125"/>
      <c r="G10" s="125"/>
      <c r="H10" s="126"/>
      <c r="I10" s="39"/>
    </row>
    <row r="11" spans="3:10" ht="20" customHeight="1">
      <c r="C11" s="124"/>
      <c r="D11" s="125"/>
      <c r="E11" s="125"/>
      <c r="F11" s="125"/>
      <c r="G11" s="125"/>
      <c r="H11" s="126"/>
      <c r="I11" s="39"/>
      <c r="J11" s="40"/>
    </row>
    <row r="12" spans="3:10" ht="20" customHeight="1">
      <c r="C12" s="124"/>
      <c r="D12" s="125"/>
      <c r="E12" s="125"/>
      <c r="F12" s="125"/>
      <c r="G12" s="125"/>
      <c r="H12" s="126"/>
      <c r="I12" s="39"/>
      <c r="J12" s="40"/>
    </row>
    <row r="13" spans="3:10" ht="20" customHeight="1">
      <c r="C13" s="124"/>
      <c r="D13" s="125"/>
      <c r="E13" s="125"/>
      <c r="F13" s="125"/>
      <c r="G13" s="125"/>
      <c r="H13" s="126"/>
      <c r="I13" s="39"/>
      <c r="J13" s="40"/>
    </row>
    <row r="14" spans="3:10" ht="20" customHeight="1">
      <c r="C14" s="127"/>
      <c r="D14" s="128"/>
      <c r="E14" s="128"/>
      <c r="F14" s="128"/>
      <c r="G14" s="128"/>
      <c r="H14" s="129"/>
      <c r="I14" s="39"/>
      <c r="J14" s="40"/>
    </row>
    <row r="15" spans="3:10" ht="20" customHeight="1">
      <c r="C15" s="39"/>
      <c r="D15" s="39"/>
      <c r="E15" s="39"/>
      <c r="F15" s="39"/>
      <c r="G15" s="39"/>
      <c r="H15" s="39"/>
      <c r="I15" s="39"/>
      <c r="J15" s="40"/>
    </row>
    <row r="16" spans="3:10" ht="20" customHeight="1">
      <c r="C16" s="40"/>
      <c r="D16" s="40"/>
      <c r="E16" s="40"/>
      <c r="F16" s="130" t="s">
        <v>85</v>
      </c>
      <c r="G16" s="131"/>
      <c r="H16" s="131"/>
      <c r="I16" s="132"/>
      <c r="J16" s="40"/>
    </row>
    <row r="17" spans="3:20" ht="20" customHeight="1">
      <c r="D17" s="38"/>
      <c r="E17" s="38"/>
      <c r="F17" s="133"/>
      <c r="G17" s="134"/>
      <c r="H17" s="134"/>
      <c r="I17" s="135"/>
      <c r="J17" s="41"/>
    </row>
    <row r="18" spans="3:20" ht="20" customHeight="1">
      <c r="F18" s="136"/>
      <c r="G18" s="137"/>
      <c r="H18" s="137"/>
      <c r="I18" s="138"/>
      <c r="J18" s="41"/>
    </row>
    <row r="19" spans="3:20" ht="20" customHeight="1">
      <c r="G19" s="42"/>
      <c r="H19" s="42"/>
      <c r="I19" s="40"/>
      <c r="J19" s="41"/>
    </row>
    <row r="20" spans="3:20" ht="20" customHeight="1">
      <c r="C20" s="139" t="s">
        <v>86</v>
      </c>
      <c r="D20" s="140"/>
      <c r="F20" s="43" t="s">
        <v>87</v>
      </c>
      <c r="G20" s="43" t="s">
        <v>88</v>
      </c>
      <c r="H20" s="43" t="s">
        <v>88</v>
      </c>
      <c r="J20" s="40"/>
    </row>
    <row r="21" spans="3:20" ht="20" customHeight="1">
      <c r="C21" s="44" t="s">
        <v>89</v>
      </c>
      <c r="D21" s="45" t="s">
        <v>90</v>
      </c>
      <c r="F21" s="46" t="s">
        <v>91</v>
      </c>
      <c r="G21" s="47"/>
      <c r="H21" s="47"/>
      <c r="I21" s="48"/>
      <c r="J21" s="48"/>
    </row>
    <row r="22" spans="3:20" ht="20" customHeight="1">
      <c r="C22" s="45" t="s">
        <v>92</v>
      </c>
      <c r="D22" s="45" t="s">
        <v>93</v>
      </c>
      <c r="F22" s="46" t="s">
        <v>94</v>
      </c>
      <c r="G22" s="47"/>
      <c r="H22" s="47"/>
      <c r="I22" s="49"/>
      <c r="J22" s="49"/>
    </row>
    <row r="23" spans="3:20" ht="20" customHeight="1">
      <c r="C23" s="45" t="s">
        <v>95</v>
      </c>
      <c r="D23" s="45" t="s">
        <v>96</v>
      </c>
      <c r="F23" s="46" t="s">
        <v>97</v>
      </c>
      <c r="G23" s="47"/>
      <c r="H23" s="47"/>
      <c r="I23" s="49"/>
      <c r="J23" s="49"/>
    </row>
    <row r="24" spans="3:20" ht="20" customHeight="1">
      <c r="C24" s="45" t="s">
        <v>98</v>
      </c>
      <c r="D24" s="45" t="s">
        <v>99</v>
      </c>
      <c r="F24" s="46" t="s">
        <v>100</v>
      </c>
      <c r="G24" s="47"/>
      <c r="H24" s="47"/>
      <c r="I24" s="49"/>
      <c r="J24" s="49"/>
      <c r="L24" s="50"/>
    </row>
    <row r="25" spans="3:20" ht="20" customHeight="1">
      <c r="C25" s="45" t="s">
        <v>101</v>
      </c>
      <c r="D25" s="45" t="s">
        <v>102</v>
      </c>
      <c r="F25" s="46" t="s">
        <v>103</v>
      </c>
      <c r="G25" s="47"/>
      <c r="H25" s="47"/>
      <c r="I25" s="49"/>
      <c r="J25" s="49"/>
    </row>
    <row r="26" spans="3:20" ht="20" customHeight="1">
      <c r="C26" s="45" t="s">
        <v>104</v>
      </c>
      <c r="D26" s="45" t="s">
        <v>105</v>
      </c>
      <c r="F26" s="46" t="s">
        <v>106</v>
      </c>
      <c r="G26" s="47"/>
      <c r="H26" s="47"/>
      <c r="I26" s="49"/>
      <c r="J26" s="49"/>
    </row>
    <row r="27" spans="3:20" ht="20" customHeight="1">
      <c r="C27" s="45" t="s">
        <v>107</v>
      </c>
      <c r="D27" s="45" t="s">
        <v>108</v>
      </c>
      <c r="F27" s="46" t="s">
        <v>109</v>
      </c>
      <c r="G27" s="47"/>
      <c r="H27" s="47"/>
      <c r="I27" s="49"/>
      <c r="J27" s="49"/>
    </row>
    <row r="28" spans="3:20" ht="20" customHeight="1">
      <c r="C28" s="45" t="s">
        <v>110</v>
      </c>
      <c r="D28" s="45" t="s">
        <v>111</v>
      </c>
      <c r="F28" s="46" t="s">
        <v>112</v>
      </c>
      <c r="G28" s="47"/>
      <c r="H28" s="47"/>
      <c r="I28" s="49"/>
      <c r="J28" s="49"/>
    </row>
    <row r="29" spans="3:20" ht="20" customHeight="1">
      <c r="C29" s="45" t="s">
        <v>113</v>
      </c>
      <c r="D29" s="45" t="s">
        <v>114</v>
      </c>
      <c r="F29" s="46" t="s">
        <v>115</v>
      </c>
      <c r="G29" s="47"/>
      <c r="H29" s="47"/>
      <c r="I29" s="49"/>
      <c r="J29" s="49"/>
    </row>
    <row r="30" spans="3:20" ht="20" customHeight="1">
      <c r="C30" s="45" t="s">
        <v>71</v>
      </c>
      <c r="D30" s="45" t="s">
        <v>116</v>
      </c>
      <c r="F30" s="46" t="s">
        <v>71</v>
      </c>
      <c r="G30" s="47"/>
      <c r="H30" s="47"/>
      <c r="I30" s="49"/>
      <c r="J30" s="49"/>
    </row>
    <row r="31" spans="3:20" ht="20" customHeight="1">
      <c r="C31" s="45" t="s">
        <v>117</v>
      </c>
      <c r="D31" s="45" t="s">
        <v>118</v>
      </c>
      <c r="F31" s="51" t="s">
        <v>119</v>
      </c>
      <c r="G31" s="52"/>
      <c r="H31" s="52"/>
      <c r="I31" s="49"/>
      <c r="J31" s="49"/>
    </row>
    <row r="32" spans="3:20" ht="20" customHeight="1">
      <c r="C32" s="45" t="s">
        <v>120</v>
      </c>
      <c r="D32" s="45" t="s">
        <v>121</v>
      </c>
      <c r="F32" s="53"/>
      <c r="G32" s="54"/>
      <c r="H32" s="54"/>
      <c r="I32" s="49"/>
      <c r="J32" s="49"/>
      <c r="T32" s="55"/>
    </row>
    <row r="33" spans="3:20" ht="20" customHeight="1">
      <c r="C33" s="56"/>
      <c r="D33" s="56"/>
      <c r="F33" s="12"/>
      <c r="G33" s="57"/>
      <c r="H33" s="57"/>
      <c r="I33" s="49"/>
      <c r="J33" s="49"/>
      <c r="T33" s="55"/>
    </row>
    <row r="34" spans="3:20" ht="20" customHeight="1">
      <c r="E34" s="141" t="s">
        <v>122</v>
      </c>
      <c r="F34" s="142"/>
      <c r="G34" s="142"/>
      <c r="H34" s="143"/>
      <c r="S34" s="55"/>
      <c r="T34" s="55"/>
    </row>
    <row r="35" spans="3:20" ht="20" customHeight="1">
      <c r="C35" s="39"/>
      <c r="D35" s="39"/>
      <c r="E35" s="144"/>
      <c r="F35" s="145"/>
      <c r="G35" s="145"/>
      <c r="H35" s="146"/>
      <c r="I35" s="39"/>
      <c r="J35" s="40"/>
      <c r="S35" s="55"/>
      <c r="T35" s="55"/>
    </row>
    <row r="36" spans="3:20" ht="20" customHeight="1">
      <c r="C36" s="39"/>
      <c r="D36" s="39"/>
      <c r="E36" s="39"/>
      <c r="F36" s="39"/>
      <c r="G36" s="39"/>
      <c r="H36" s="39"/>
      <c r="I36" s="39"/>
      <c r="J36" s="40"/>
      <c r="S36" s="55"/>
      <c r="T36" s="55"/>
    </row>
    <row r="37" spans="3:20" ht="20" customHeight="1">
      <c r="S37" s="55"/>
      <c r="T37" s="55"/>
    </row>
    <row r="38" spans="3:20" ht="20" customHeight="1">
      <c r="S38" s="55"/>
      <c r="T38" s="55"/>
    </row>
    <row r="39" spans="3:20" ht="20" customHeight="1">
      <c r="S39" s="55"/>
      <c r="T39" s="55"/>
    </row>
    <row r="40" spans="3:20" ht="20" customHeight="1">
      <c r="S40" s="55"/>
      <c r="T40" s="55"/>
    </row>
    <row r="42" spans="3:20" ht="20" customHeight="1">
      <c r="D42" s="38"/>
      <c r="E42" s="58"/>
      <c r="F42" s="58"/>
      <c r="G42" s="58"/>
    </row>
    <row r="43" spans="3:20" ht="20" customHeight="1">
      <c r="D43" s="38"/>
      <c r="E43" s="38"/>
      <c r="F43" s="38"/>
      <c r="G43" s="38"/>
    </row>
    <row r="45" spans="3:20" ht="20" customHeight="1">
      <c r="C45" s="39"/>
      <c r="D45" s="39"/>
      <c r="E45" s="39"/>
      <c r="F45" s="39"/>
      <c r="G45" s="39"/>
      <c r="H45" s="39"/>
      <c r="I45" s="39"/>
    </row>
    <row r="46" spans="3:20" ht="20" customHeight="1">
      <c r="C46" s="39"/>
      <c r="D46" s="39"/>
      <c r="E46" s="39"/>
      <c r="F46" s="39"/>
      <c r="G46" s="39"/>
      <c r="H46" s="39"/>
      <c r="I46" s="39"/>
      <c r="J46" s="40"/>
    </row>
    <row r="47" spans="3:20" ht="20" customHeight="1">
      <c r="C47" s="39"/>
      <c r="D47" s="39"/>
      <c r="E47" s="39"/>
      <c r="F47" s="39"/>
      <c r="G47" s="39"/>
      <c r="H47" s="39"/>
      <c r="I47" s="39"/>
      <c r="J47" s="40"/>
    </row>
    <row r="48" spans="3:20" ht="20" customHeight="1">
      <c r="C48" s="39"/>
      <c r="D48" s="39"/>
      <c r="E48" s="39"/>
      <c r="F48" s="39"/>
      <c r="G48" s="39"/>
      <c r="H48" s="39"/>
      <c r="I48" s="39"/>
      <c r="J48" s="40"/>
    </row>
    <row r="49" spans="3:10" ht="20" customHeight="1">
      <c r="C49" s="39"/>
      <c r="D49" s="39"/>
      <c r="E49" s="39"/>
      <c r="F49" s="39"/>
      <c r="G49" s="39"/>
      <c r="H49" s="39"/>
      <c r="I49" s="39"/>
      <c r="J49" s="40"/>
    </row>
    <row r="50" spans="3:10" ht="20" customHeight="1">
      <c r="C50" s="39"/>
      <c r="D50" s="39"/>
      <c r="E50" s="39"/>
      <c r="F50" s="39"/>
      <c r="G50" s="39"/>
      <c r="H50" s="39"/>
      <c r="I50" s="39"/>
      <c r="J50" s="40"/>
    </row>
    <row r="51" spans="3:10" ht="20" customHeight="1">
      <c r="C51" s="40"/>
      <c r="D51" s="40"/>
      <c r="E51" s="40"/>
      <c r="F51" s="41"/>
      <c r="G51" s="41"/>
      <c r="H51" s="41"/>
      <c r="I51" s="41"/>
      <c r="J51" s="40"/>
    </row>
    <row r="52" spans="3:10" ht="20" customHeight="1">
      <c r="D52" s="38"/>
      <c r="E52" s="38"/>
      <c r="F52" s="41"/>
      <c r="G52" s="41"/>
      <c r="H52" s="41"/>
      <c r="I52" s="41"/>
      <c r="J52" s="41"/>
    </row>
    <row r="53" spans="3:10" ht="20" customHeight="1">
      <c r="F53" s="41"/>
      <c r="G53" s="41"/>
      <c r="H53" s="41"/>
      <c r="I53" s="41"/>
      <c r="J53" s="41"/>
    </row>
    <row r="54" spans="3:10" ht="20" customHeight="1">
      <c r="G54" s="42"/>
      <c r="H54" s="42"/>
      <c r="I54" s="40"/>
      <c r="J54" s="41"/>
    </row>
    <row r="55" spans="3:10" ht="20" customHeight="1">
      <c r="F55" s="12"/>
      <c r="G55" s="12"/>
      <c r="H55" s="12"/>
      <c r="J55" s="40"/>
    </row>
    <row r="56" spans="3:10" ht="20" customHeight="1">
      <c r="C56" s="59"/>
      <c r="D56" s="56"/>
      <c r="F56" s="12"/>
      <c r="G56" s="57"/>
      <c r="H56" s="57"/>
      <c r="I56" s="48"/>
      <c r="J56" s="48"/>
    </row>
    <row r="57" spans="3:10" ht="20" customHeight="1">
      <c r="C57" s="56"/>
      <c r="D57" s="56"/>
      <c r="F57" s="12"/>
      <c r="G57" s="57"/>
      <c r="H57" s="57"/>
      <c r="I57" s="49"/>
      <c r="J57" s="49"/>
    </row>
    <row r="58" spans="3:10" ht="20" customHeight="1">
      <c r="C58" s="56"/>
      <c r="D58" s="56"/>
      <c r="F58" s="12"/>
      <c r="G58" s="57"/>
      <c r="H58" s="57"/>
      <c r="I58" s="49"/>
      <c r="J58" s="49"/>
    </row>
    <row r="59" spans="3:10" ht="20" customHeight="1">
      <c r="C59" s="56"/>
      <c r="D59" s="56"/>
      <c r="F59" s="12"/>
      <c r="G59" s="57"/>
      <c r="H59" s="57"/>
      <c r="I59" s="49"/>
      <c r="J59" s="49"/>
    </row>
    <row r="60" spans="3:10" ht="20" customHeight="1">
      <c r="C60" s="56"/>
      <c r="D60" s="56"/>
      <c r="F60" s="12"/>
      <c r="G60" s="57"/>
      <c r="H60" s="57"/>
      <c r="I60" s="49"/>
      <c r="J60" s="49"/>
    </row>
    <row r="61" spans="3:10" ht="20" customHeight="1">
      <c r="C61" s="56"/>
      <c r="D61" s="56"/>
      <c r="F61" s="12"/>
      <c r="G61" s="57"/>
      <c r="H61" s="57"/>
      <c r="I61" s="49"/>
      <c r="J61" s="49"/>
    </row>
    <row r="62" spans="3:10" ht="20" customHeight="1">
      <c r="C62" s="56"/>
      <c r="D62" s="56"/>
      <c r="F62" s="12"/>
      <c r="G62" s="57"/>
      <c r="H62" s="57"/>
      <c r="I62" s="49"/>
      <c r="J62" s="49"/>
    </row>
    <row r="63" spans="3:10" ht="20" customHeight="1">
      <c r="C63" s="56"/>
      <c r="D63" s="56"/>
      <c r="F63" s="12"/>
      <c r="G63" s="57"/>
      <c r="H63" s="57"/>
      <c r="I63" s="49"/>
      <c r="J63" s="49"/>
    </row>
    <row r="64" spans="3:10" ht="20" customHeight="1">
      <c r="C64" s="56"/>
      <c r="D64" s="56"/>
      <c r="F64" s="12"/>
      <c r="G64" s="57"/>
      <c r="H64" s="57"/>
      <c r="I64" s="49"/>
      <c r="J64" s="49"/>
    </row>
    <row r="65" spans="3:10" ht="20" customHeight="1">
      <c r="C65" s="56"/>
      <c r="D65" s="56"/>
      <c r="F65" s="12"/>
      <c r="G65" s="57"/>
      <c r="H65" s="57"/>
      <c r="I65" s="49"/>
      <c r="J65" s="49"/>
    </row>
    <row r="66" spans="3:10" ht="20" customHeight="1">
      <c r="C66" s="56"/>
      <c r="D66" s="56"/>
      <c r="F66" s="12"/>
      <c r="G66" s="57"/>
      <c r="H66" s="57"/>
      <c r="I66" s="49"/>
      <c r="J66" s="49"/>
    </row>
    <row r="67" spans="3:10" ht="20" customHeight="1">
      <c r="C67" s="56"/>
      <c r="D67" s="56"/>
      <c r="F67" s="12"/>
      <c r="G67" s="57"/>
      <c r="H67" s="57"/>
      <c r="I67" s="49"/>
      <c r="J67" s="49"/>
    </row>
    <row r="68" spans="3:10" ht="20" customHeight="1">
      <c r="C68" s="56"/>
      <c r="D68" s="56"/>
      <c r="F68" s="12"/>
      <c r="G68" s="57"/>
      <c r="H68" s="57"/>
      <c r="I68" s="49"/>
      <c r="J68" s="49"/>
    </row>
    <row r="69" spans="3:10" ht="20" customHeight="1">
      <c r="E69" s="60"/>
      <c r="F69" s="60"/>
      <c r="G69" s="60"/>
      <c r="H69" s="60"/>
    </row>
    <row r="70" spans="3:10" ht="20" customHeight="1">
      <c r="C70" s="39"/>
      <c r="D70" s="39"/>
      <c r="E70" s="60"/>
      <c r="F70" s="60"/>
      <c r="G70" s="60"/>
      <c r="H70" s="60"/>
      <c r="I70" s="39"/>
      <c r="J70" s="40"/>
    </row>
    <row r="71" spans="3:10" ht="20" customHeight="1">
      <c r="C71" s="39"/>
      <c r="D71" s="39"/>
      <c r="E71" s="39"/>
      <c r="F71" s="39"/>
      <c r="G71" s="39"/>
      <c r="H71" s="39"/>
      <c r="I71" s="39"/>
      <c r="J71" s="40"/>
    </row>
    <row r="77" spans="3:10" ht="20" customHeight="1">
      <c r="D77" s="38"/>
      <c r="E77" s="58"/>
      <c r="F77" s="58"/>
      <c r="G77" s="58"/>
    </row>
    <row r="78" spans="3:10" ht="20" customHeight="1">
      <c r="D78" s="38"/>
      <c r="E78" s="38"/>
      <c r="F78" s="38"/>
      <c r="G78" s="38"/>
    </row>
    <row r="80" spans="3:10" ht="20" customHeight="1">
      <c r="C80" s="39"/>
      <c r="D80" s="39"/>
      <c r="E80" s="39"/>
      <c r="F80" s="39"/>
      <c r="G80" s="39"/>
      <c r="H80" s="39"/>
      <c r="I80" s="39"/>
    </row>
    <row r="81" spans="3:10" ht="20" customHeight="1">
      <c r="C81" s="39"/>
      <c r="D81" s="39"/>
      <c r="E81" s="39"/>
      <c r="F81" s="39"/>
      <c r="G81" s="39"/>
      <c r="H81" s="39"/>
      <c r="I81" s="39"/>
      <c r="J81" s="40"/>
    </row>
    <row r="82" spans="3:10" ht="20" customHeight="1">
      <c r="C82" s="39"/>
      <c r="D82" s="39"/>
      <c r="E82" s="39"/>
      <c r="F82" s="39"/>
      <c r="G82" s="39"/>
      <c r="H82" s="39"/>
      <c r="I82" s="39"/>
      <c r="J82" s="40"/>
    </row>
    <row r="83" spans="3:10" ht="20" customHeight="1">
      <c r="C83" s="39"/>
      <c r="D83" s="39"/>
      <c r="E83" s="39"/>
      <c r="F83" s="39"/>
      <c r="G83" s="39"/>
      <c r="H83" s="39"/>
      <c r="I83" s="39"/>
      <c r="J83" s="40"/>
    </row>
    <row r="84" spans="3:10" ht="20" customHeight="1">
      <c r="C84" s="39"/>
      <c r="D84" s="39"/>
      <c r="E84" s="39"/>
      <c r="F84" s="39"/>
      <c r="G84" s="39"/>
      <c r="H84" s="39"/>
      <c r="I84" s="39"/>
      <c r="J84" s="40"/>
    </row>
    <row r="85" spans="3:10" ht="20" customHeight="1">
      <c r="C85" s="39"/>
      <c r="D85" s="39"/>
      <c r="E85" s="39"/>
      <c r="F85" s="39"/>
      <c r="G85" s="39"/>
      <c r="H85" s="39"/>
      <c r="I85" s="39"/>
      <c r="J85" s="40"/>
    </row>
    <row r="86" spans="3:10" ht="20" customHeight="1">
      <c r="C86" s="40"/>
      <c r="D86" s="40"/>
      <c r="E86" s="40"/>
      <c r="F86" s="40"/>
      <c r="G86" s="40"/>
      <c r="H86" s="40"/>
      <c r="I86" s="40"/>
      <c r="J86" s="40"/>
    </row>
    <row r="87" spans="3:10" ht="20" customHeight="1">
      <c r="D87" s="38"/>
      <c r="E87" s="38"/>
      <c r="F87" s="41"/>
      <c r="G87" s="41"/>
      <c r="H87" s="41"/>
      <c r="I87" s="41"/>
      <c r="J87" s="41"/>
    </row>
    <row r="88" spans="3:10" ht="20" customHeight="1">
      <c r="F88" s="41"/>
      <c r="G88" s="41"/>
      <c r="H88" s="41"/>
      <c r="I88" s="41"/>
      <c r="J88" s="41"/>
    </row>
    <row r="89" spans="3:10" ht="20" customHeight="1">
      <c r="F89" s="41"/>
      <c r="G89" s="41"/>
      <c r="H89" s="41"/>
      <c r="I89" s="41"/>
      <c r="J89" s="41"/>
    </row>
    <row r="90" spans="3:10" ht="20" customHeight="1">
      <c r="G90" s="42"/>
      <c r="H90" s="42"/>
      <c r="I90" s="40"/>
      <c r="J90" s="40"/>
    </row>
    <row r="91" spans="3:10" ht="20" customHeight="1">
      <c r="C91" s="59"/>
      <c r="D91" s="56"/>
      <c r="F91" s="12"/>
      <c r="G91" s="12"/>
      <c r="H91" s="12"/>
      <c r="I91" s="48"/>
      <c r="J91" s="48"/>
    </row>
    <row r="92" spans="3:10" ht="20" customHeight="1">
      <c r="C92" s="56"/>
      <c r="D92" s="56"/>
      <c r="F92" s="12"/>
      <c r="G92" s="57"/>
      <c r="H92" s="57"/>
      <c r="I92" s="49"/>
      <c r="J92" s="49"/>
    </row>
    <row r="93" spans="3:10" ht="20" customHeight="1">
      <c r="C93" s="56"/>
      <c r="D93" s="56"/>
      <c r="F93" s="12"/>
      <c r="G93" s="57"/>
      <c r="H93" s="57"/>
      <c r="I93" s="49"/>
      <c r="J93" s="49"/>
    </row>
    <row r="94" spans="3:10" ht="20" customHeight="1">
      <c r="C94" s="56"/>
      <c r="D94" s="56"/>
      <c r="F94" s="12"/>
      <c r="G94" s="57"/>
      <c r="H94" s="57"/>
      <c r="I94" s="49"/>
      <c r="J94" s="49"/>
    </row>
    <row r="95" spans="3:10" ht="20" customHeight="1">
      <c r="C95" s="56"/>
      <c r="D95" s="56"/>
      <c r="F95" s="12"/>
      <c r="G95" s="57"/>
      <c r="H95" s="57"/>
      <c r="I95" s="49"/>
      <c r="J95" s="49"/>
    </row>
    <row r="96" spans="3:10" ht="20" customHeight="1">
      <c r="C96" s="56"/>
      <c r="D96" s="56"/>
      <c r="F96" s="12"/>
      <c r="G96" s="57"/>
      <c r="H96" s="57"/>
      <c r="I96" s="49"/>
      <c r="J96" s="49"/>
    </row>
    <row r="97" spans="3:10" ht="20" customHeight="1">
      <c r="C97" s="56"/>
      <c r="D97" s="56"/>
      <c r="F97" s="12"/>
      <c r="G97" s="57"/>
      <c r="H97" s="57"/>
      <c r="I97" s="49"/>
      <c r="J97" s="49"/>
    </row>
    <row r="98" spans="3:10" ht="20" customHeight="1">
      <c r="C98" s="56"/>
      <c r="D98" s="56"/>
      <c r="F98" s="12"/>
      <c r="G98" s="57"/>
      <c r="H98" s="57"/>
      <c r="I98" s="49"/>
      <c r="J98" s="49"/>
    </row>
    <row r="99" spans="3:10" ht="20" customHeight="1">
      <c r="C99" s="56"/>
      <c r="D99" s="56"/>
      <c r="F99" s="12"/>
      <c r="G99" s="57"/>
      <c r="H99" s="57"/>
      <c r="I99" s="49"/>
      <c r="J99" s="49"/>
    </row>
    <row r="100" spans="3:10" ht="20" customHeight="1">
      <c r="C100" s="56"/>
      <c r="D100" s="56"/>
      <c r="F100" s="12"/>
      <c r="G100" s="57"/>
      <c r="H100" s="57"/>
      <c r="I100" s="49"/>
      <c r="J100" s="49"/>
    </row>
    <row r="101" spans="3:10" ht="20" customHeight="1">
      <c r="C101" s="56"/>
      <c r="D101" s="56"/>
      <c r="F101" s="12"/>
      <c r="G101" s="57"/>
      <c r="H101" s="57"/>
      <c r="I101" s="49"/>
      <c r="J101" s="49"/>
    </row>
    <row r="102" spans="3:10" ht="20" customHeight="1">
      <c r="C102" s="56"/>
      <c r="D102" s="56"/>
      <c r="F102" s="12"/>
      <c r="G102" s="57"/>
      <c r="H102" s="57"/>
      <c r="I102" s="49"/>
      <c r="J102" s="49"/>
    </row>
    <row r="103" spans="3:10" ht="20" customHeight="1">
      <c r="C103" s="56"/>
      <c r="D103" s="56"/>
      <c r="F103" s="12"/>
      <c r="G103" s="57"/>
      <c r="H103" s="57"/>
      <c r="I103" s="49"/>
      <c r="J103" s="49"/>
    </row>
    <row r="104" spans="3:10" ht="20" customHeight="1">
      <c r="E104" s="60"/>
      <c r="F104" s="60"/>
      <c r="G104" s="60"/>
      <c r="H104" s="60"/>
    </row>
    <row r="105" spans="3:10" ht="20" customHeight="1">
      <c r="C105" s="39"/>
      <c r="D105" s="39"/>
      <c r="E105" s="60"/>
      <c r="F105" s="60"/>
      <c r="G105" s="60"/>
      <c r="H105" s="60"/>
      <c r="I105" s="39"/>
      <c r="J105" s="40"/>
    </row>
    <row r="106" spans="3:10" ht="20" customHeight="1">
      <c r="C106" s="39"/>
      <c r="D106" s="39"/>
      <c r="E106" s="39"/>
      <c r="F106" s="39"/>
      <c r="G106" s="39"/>
      <c r="H106" s="39"/>
      <c r="I106" s="39"/>
      <c r="J106" s="40"/>
    </row>
    <row r="1083" spans="2:10" ht="20" customHeight="1">
      <c r="C1083" s="39"/>
      <c r="D1083" s="39"/>
      <c r="E1083" s="39"/>
      <c r="F1083" s="39"/>
      <c r="G1083" s="39"/>
      <c r="H1083" s="39"/>
      <c r="I1083" s="39"/>
      <c r="J1083" s="40"/>
    </row>
    <row r="1084" spans="2:10" ht="20" customHeight="1">
      <c r="C1084" s="39"/>
      <c r="D1084" s="39"/>
      <c r="E1084" s="39"/>
      <c r="F1084" s="39"/>
      <c r="G1084" s="39"/>
      <c r="H1084" s="39"/>
      <c r="I1084" s="39"/>
      <c r="J1084" s="40"/>
    </row>
    <row r="1085" spans="2:10" ht="20" customHeight="1">
      <c r="C1085" s="39"/>
      <c r="D1085" s="39"/>
      <c r="E1085" s="39"/>
      <c r="F1085" s="39"/>
      <c r="G1085" s="39"/>
      <c r="H1085" s="39"/>
      <c r="I1085" s="39"/>
      <c r="J1085" s="40"/>
    </row>
    <row r="1086" spans="2:10" ht="20" customHeight="1">
      <c r="C1086" s="61"/>
      <c r="D1086" s="61"/>
      <c r="E1086" s="61"/>
      <c r="F1086" s="61"/>
      <c r="G1086" s="61"/>
      <c r="H1086" s="61"/>
      <c r="I1086" s="61"/>
      <c r="J1086" s="40"/>
    </row>
    <row r="1087" spans="2:10" ht="20" customHeight="1">
      <c r="B1087" s="39"/>
      <c r="C1087" s="39"/>
      <c r="D1087" s="39"/>
      <c r="E1087" s="39"/>
      <c r="F1087" s="39"/>
      <c r="G1087" s="39"/>
      <c r="H1087" s="39"/>
      <c r="I1087" s="39"/>
      <c r="J1087" s="39"/>
    </row>
    <row r="1088" spans="2:10" ht="20" customHeight="1">
      <c r="B1088" s="39"/>
      <c r="C1088" s="39"/>
      <c r="D1088" s="39"/>
      <c r="E1088" s="39"/>
      <c r="F1088" s="39"/>
      <c r="G1088" s="39"/>
      <c r="H1088" s="39"/>
      <c r="I1088" s="39"/>
      <c r="J1088" s="39"/>
    </row>
    <row r="1089" spans="2:10" ht="20" customHeight="1">
      <c r="B1089" s="39"/>
      <c r="C1089" s="39"/>
      <c r="D1089" s="39"/>
      <c r="E1089" s="39"/>
      <c r="F1089" s="39"/>
      <c r="G1089" s="39"/>
      <c r="H1089" s="39"/>
      <c r="I1089" s="39"/>
      <c r="J1089" s="39"/>
    </row>
  </sheetData>
  <mergeCells count="6">
    <mergeCell ref="E34:H35"/>
    <mergeCell ref="C4:H5"/>
    <mergeCell ref="E7:H7"/>
    <mergeCell ref="C9:H14"/>
    <mergeCell ref="F16:I18"/>
    <mergeCell ref="C20:D20"/>
  </mergeCells>
  <conditionalFormatting sqref="H1083:H1048576 H3 H36:H37 H19 G20:H20 G26:H29 G22:H24 G31:H33 H6 H8">
    <cfRule type="cellIs" dxfId="20" priority="20" operator="between">
      <formula>100</formula>
      <formula>200</formula>
    </cfRule>
    <cfRule type="cellIs" dxfId="19" priority="21" operator="between">
      <formula>100</formula>
      <formula>200</formula>
    </cfRule>
  </conditionalFormatting>
  <conditionalFormatting sqref="H90:H103 H86 H73:H79 H106:H107">
    <cfRule type="cellIs" dxfId="18" priority="18" operator="between">
      <formula>100</formula>
      <formula>200</formula>
    </cfRule>
    <cfRule type="cellIs" dxfId="17" priority="19" operator="between">
      <formula>100</formula>
      <formula>200</formula>
    </cfRule>
  </conditionalFormatting>
  <conditionalFormatting sqref="G91:G103">
    <cfRule type="cellIs" dxfId="16" priority="16" operator="between">
      <formula>100</formula>
      <formula>200</formula>
    </cfRule>
    <cfRule type="cellIs" dxfId="15" priority="17" operator="between">
      <formula>100</formula>
      <formula>200</formula>
    </cfRule>
  </conditionalFormatting>
  <conditionalFormatting sqref="G65:H65">
    <cfRule type="cellIs" dxfId="14" priority="2" operator="between">
      <formula>100</formula>
      <formula>200</formula>
    </cfRule>
    <cfRule type="cellIs" dxfId="13" priority="3" operator="between">
      <formula>100</formula>
      <formula>200</formula>
    </cfRule>
  </conditionalFormatting>
  <conditionalFormatting sqref="G25:H25">
    <cfRule type="cellIs" dxfId="12" priority="14" operator="between">
      <formula>100</formula>
      <formula>200</formula>
    </cfRule>
    <cfRule type="cellIs" dxfId="11" priority="15" operator="between">
      <formula>100</formula>
      <formula>200</formula>
    </cfRule>
  </conditionalFormatting>
  <conditionalFormatting sqref="G21:H21">
    <cfRule type="cellIs" dxfId="10" priority="12" operator="between">
      <formula>100</formula>
      <formula>200</formula>
    </cfRule>
    <cfRule type="cellIs" dxfId="9" priority="13" operator="between">
      <formula>100</formula>
      <formula>200</formula>
    </cfRule>
  </conditionalFormatting>
  <conditionalFormatting sqref="G30:H30">
    <cfRule type="cellIs" dxfId="8" priority="10" operator="between">
      <formula>100</formula>
      <formula>200</formula>
    </cfRule>
    <cfRule type="cellIs" dxfId="7" priority="11" operator="between">
      <formula>100</formula>
      <formula>200</formula>
    </cfRule>
  </conditionalFormatting>
  <conditionalFormatting sqref="H38:H44 H71:H72 H54 G55:H55 G61:H64 G57:H59 G66:H68">
    <cfRule type="cellIs" dxfId="6" priority="8" operator="between">
      <formula>100</formula>
      <formula>200</formula>
    </cfRule>
    <cfRule type="cellIs" dxfId="5" priority="9" operator="between">
      <formula>100</formula>
      <formula>200</formula>
    </cfRule>
  </conditionalFormatting>
  <conditionalFormatting sqref="G60:H60">
    <cfRule type="cellIs" dxfId="4" priority="6" operator="between">
      <formula>100</formula>
      <formula>200</formula>
    </cfRule>
    <cfRule type="cellIs" dxfId="3" priority="7" operator="between">
      <formula>100</formula>
      <formula>200</formula>
    </cfRule>
  </conditionalFormatting>
  <conditionalFormatting sqref="G56:H56">
    <cfRule type="cellIs" dxfId="2" priority="4" operator="between">
      <formula>100</formula>
      <formula>200</formula>
    </cfRule>
    <cfRule type="cellIs" dxfId="1" priority="5" operator="between">
      <formula>100</formula>
      <formula>200</formula>
    </cfRule>
  </conditionalFormatting>
  <conditionalFormatting sqref="G21:H31">
    <cfRule type="cellIs" dxfId="0" priority="1" operator="greaterThan">
      <formula>100</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Home</vt:lpstr>
      <vt:lpstr>Roster</vt:lpstr>
      <vt:lpstr>Final</vt:lpstr>
      <vt:lpstr>Exam 1</vt:lpstr>
      <vt:lpstr>Exam 2</vt:lpstr>
      <vt:lpstr>MML</vt:lpstr>
      <vt:lpstr>All</vt:lpstr>
      <vt:lpstr>Feedback</vt:lpstr>
      <vt:lpstr>Home!Print_Area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Wenjuan Zhang</dc:creator>
  <cp:lastModifiedBy>Microsoft Office User</cp:lastModifiedBy>
  <cp:lastPrinted>2019-08-19T23:46:19Z</cp:lastPrinted>
  <dcterms:created xsi:type="dcterms:W3CDTF">2019-01-22T03:34:22Z</dcterms:created>
  <dcterms:modified xsi:type="dcterms:W3CDTF">2020-01-15T20:46:51Z</dcterms:modified>
</cp:coreProperties>
</file>